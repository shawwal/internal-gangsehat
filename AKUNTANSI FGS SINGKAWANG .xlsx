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READ ME" sheetId="1" r:id="rId5"/>
    <sheet state="visible" name="Pemasukan" sheetId="2" r:id="rId6"/>
    <sheet state="visible" name="Pengeluaran" sheetId="3" r:id="rId7"/>
    <sheet state="visible" name="Laporan" sheetId="4" r:id="rId8"/>
    <sheet state="visible" name="Arus Kas" sheetId="5" r:id="rId9"/>
    <sheet state="visible" name="⚙️Pengaturan" sheetId="6" r:id="rId1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6">
      <text>
        <t xml:space="preserve">Double click untuk pilih tanggal</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9">
      <text>
        <t xml:space="preserve">Double-click untuk mengganti "start dan end date" disamping ➠
Data yang ditampilkan di bagian bawah akan menyesuaikan time series yang dipilih.</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54">
      <text>
        <t xml:space="preserve">Nominal pajak perlu diisi manual jika ada.</t>
      </text>
    </comment>
  </commentList>
</comments>
</file>

<file path=xl/sharedStrings.xml><?xml version="1.0" encoding="utf-8"?>
<sst xmlns="http://schemas.openxmlformats.org/spreadsheetml/2006/main" count="4156" uniqueCount="698">
  <si>
    <t xml:space="preserve"> </t>
  </si>
  <si>
    <t>Pencatatan Keuangan Klinik Kesehatan</t>
  </si>
  <si>
    <t>Pencatatan Kunjungan Pasien</t>
  </si>
  <si>
    <r>
      <rPr>
        <rFont val="Google Sans"/>
      </rPr>
      <t xml:space="preserve">&gt;&gt; Akses file preview ini hanya </t>
    </r>
    <r>
      <rPr>
        <rFont val="Google Sans"/>
        <b/>
      </rPr>
      <t>comment only</t>
    </r>
    <r>
      <rPr>
        <rFont val="Google Sans"/>
      </rPr>
      <t xml:space="preserve">. Pastikan untuk membuat duplikasi file terlebih dahulu dengan cara klik menu </t>
    </r>
    <r>
      <rPr>
        <rFont val="Google Sans"/>
        <b/>
        <color rgb="FF1155CC"/>
        <u/>
      </rPr>
      <t>File &gt; Make a copy</t>
    </r>
    <r>
      <rPr>
        <rFont val="Google Sans"/>
      </rPr>
      <t xml:space="preserve">.
</t>
    </r>
    <r>
      <rPr>
        <rFont val="Google Sans"/>
        <i/>
      </rPr>
      <t xml:space="preserve">Abaikan pesan ini jika saat klik link dari KaryaKarsa pertama kali kamu </t>
    </r>
    <r>
      <rPr>
        <rFont val="Google Sans"/>
        <i/>
        <u/>
      </rPr>
      <t>sudah membuat duplikasi file</t>
    </r>
    <r>
      <rPr>
        <rFont val="Google Sans"/>
        <i/>
      </rPr>
      <t>.</t>
    </r>
  </si>
  <si>
    <t>Tanggal:</t>
  </si>
  <si>
    <t>✓</t>
  </si>
  <si>
    <t>No.</t>
  </si>
  <si>
    <t>Tanggal</t>
  </si>
  <si>
    <t>Nama Pasien</t>
  </si>
  <si>
    <t>Jenis Pemeriksaan</t>
  </si>
  <si>
    <t>Harga Paket</t>
  </si>
  <si>
    <t>Pembayaran</t>
  </si>
  <si>
    <t>Tentang:</t>
  </si>
  <si>
    <t>Biaya Lainnya</t>
  </si>
  <si>
    <t>Total Biaya</t>
  </si>
  <si>
    <t>Kategori</t>
  </si>
  <si>
    <t>Nominal</t>
  </si>
  <si>
    <t>Detail Pencatatan</t>
  </si>
  <si>
    <t>Instansi</t>
  </si>
  <si>
    <t>Template Google sheet pencatatan keuangan untuk klinik kesehatan ini dapat membantu kamu mengelola keuangan usahamu menjadi lebih tertata. Template pengelola keuangan ini terdiri 7 sheet yang dapat digunakan langsung.
Dirancang sesederhana mungkin agar dapat digunakan semua kalangan, dan juga sudah dilengkapi kolom untuk masing-masing bulan agar dapat digunakan sepanjang tahun.</t>
  </si>
  <si>
    <t>Panduan:</t>
  </si>
  <si>
    <r>
      <rPr>
        <rFont val="Google Sans"/>
        <color rgb="FF000000"/>
        <sz val="10.0"/>
      </rPr>
      <t xml:space="preserve">1. Saat pertama kali menggunakan template ini, pastikan kamu menyesuaikan beberapa pengaturan umum pada sheet </t>
    </r>
    <r>
      <rPr>
        <rFont val="Google Sans"/>
        <b/>
        <color rgb="FF1155CC"/>
        <sz val="10.0"/>
        <u/>
      </rPr>
      <t>⚙️Pengaturan</t>
    </r>
    <r>
      <rPr>
        <rFont val="Google Sans"/>
        <color rgb="FF000000"/>
        <sz val="10.0"/>
      </rPr>
      <t>. Atur Nama Usaha, Jenis Pemeriksaan, Harga Paket, Jenis Pengeluaran, dan Nama Dokter.</t>
    </r>
  </si>
  <si>
    <t>Ny. Wahdah Siti Aisyah</t>
  </si>
  <si>
    <r>
      <rPr>
        <rFont val="Google Sans"/>
        <color rgb="FF000000"/>
        <sz val="10.0"/>
      </rPr>
      <t xml:space="preserve">2. Setiap kali terjadi transaksi pendapatan/pemasukan, silahkan catat trasaksinya pada sheet </t>
    </r>
    <r>
      <rPr>
        <rFont val="Google Sans"/>
        <b/>
        <color rgb="FF1155CC"/>
        <sz val="10.0"/>
        <u/>
      </rPr>
      <t>Pendapatan</t>
    </r>
    <r>
      <rPr>
        <rFont val="Google Sans"/>
        <color rgb="FF000000"/>
        <sz val="10.0"/>
      </rPr>
      <t>. Pilih tanggal terjadinya transaksi dengan cara klik 2x pada kolom  D, sesuaikan nama produk, lalu nominal transaksi akan otomatis terisi.</t>
    </r>
  </si>
  <si>
    <t xml:space="preserve">Terapi Awal </t>
  </si>
  <si>
    <t>Beban Kebersihan</t>
  </si>
  <si>
    <t>Hit</t>
  </si>
  <si>
    <r>
      <rPr>
        <rFont val="Google Sans"/>
        <color rgb="FF000000"/>
        <sz val="10.0"/>
      </rPr>
      <t xml:space="preserve">3. Lakukan hal yg sama seperti panduan nomor 2 untuk setiap transaksi pengeluaran pada sheet </t>
    </r>
    <r>
      <rPr>
        <rFont val="Google Sans"/>
        <b/>
        <color rgb="FF1155CC"/>
        <sz val="10.0"/>
        <u/>
      </rPr>
      <t>Pengeluaran</t>
    </r>
    <r>
      <rPr>
        <rFont val="Google Sans"/>
        <color rgb="FF000000"/>
        <sz val="10.0"/>
      </rPr>
      <t xml:space="preserve">. </t>
    </r>
  </si>
  <si>
    <t>TUNAI</t>
  </si>
  <si>
    <r>
      <rPr>
        <rFont val="Google Sans"/>
        <color rgb="FF000000"/>
        <sz val="10.0"/>
      </rPr>
      <t xml:space="preserve">3. Jika data yg kamu masukan sudah sesuai, silahkan cek pada sheet </t>
    </r>
    <r>
      <rPr>
        <rFont val="Google Sans"/>
        <b/>
        <color rgb="FF1155CC"/>
        <sz val="10.0"/>
        <u/>
      </rPr>
      <t>Arus Kas</t>
    </r>
    <r>
      <rPr>
        <rFont val="Google Sans"/>
        <color rgb="FF000000"/>
        <sz val="10.0"/>
      </rPr>
      <t xml:space="preserve"> untuk akumulasi transaksi yg sudah dicatat. Lihat pada bagian atas untuk kolom sesuai bulan berjalan.</t>
    </r>
  </si>
  <si>
    <t>Stella</t>
  </si>
  <si>
    <r>
      <rPr>
        <rFont val="Google Sans"/>
        <color rgb="FF000000"/>
        <sz val="10.0"/>
      </rPr>
      <t xml:space="preserve">4. Untuk rekap transaksi, silahkan cek pada sheet </t>
    </r>
    <r>
      <rPr>
        <rFont val="Google Sans"/>
        <b/>
        <color rgb="FF1155CC"/>
        <sz val="10.0"/>
        <u/>
      </rPr>
      <t>Laporan</t>
    </r>
    <r>
      <rPr>
        <rFont val="Google Sans"/>
        <b/>
        <color rgb="FF000000"/>
        <sz val="10.0"/>
      </rPr>
      <t xml:space="preserve">. </t>
    </r>
    <r>
      <rPr>
        <rFont val="Google Sans"/>
        <color rgb="FF000000"/>
        <sz val="10.0"/>
      </rPr>
      <t xml:space="preserve">Pada sheet ini kamu dapat melihat ringkasan transaksi secara bulanan maupun dalam periode waktu tertentu dengan mengganti tanggal mulai dan selesai laporan. </t>
    </r>
    <r>
      <rPr>
        <rFont val="Google Sans"/>
        <b/>
        <color theme="5"/>
        <sz val="10.0"/>
      </rPr>
      <t>[NEW!]</t>
    </r>
  </si>
  <si>
    <t>Beban Pelayanan</t>
  </si>
  <si>
    <t>Es Batu</t>
  </si>
  <si>
    <t>Ny. Bong Lin Tju</t>
  </si>
  <si>
    <t>Beban Listrik</t>
  </si>
  <si>
    <t>Token Listrik</t>
  </si>
  <si>
    <t>Catatan:</t>
  </si>
  <si>
    <r>
      <rPr>
        <rFont val="&quot;Google Sans&quot;, Arial"/>
        <color theme="1"/>
        <sz val="15.0"/>
      </rPr>
      <t>⚡</t>
    </r>
    <r>
      <rPr>
        <rFont val="&quot;Google Sans&quot;, Arial"/>
        <b/>
        <color theme="1"/>
        <sz val="10.0"/>
      </rPr>
      <t>Fitur ceklis</t>
    </r>
    <r>
      <rPr>
        <rFont val="&quot;Google Sans&quot;, Arial"/>
        <color theme="1"/>
        <sz val="10.0"/>
      </rPr>
      <t xml:space="preserve"> yang tersedia tidak memengaruhi formula maupun sheet lainnya. Ceklis ini hanya mempermudah untuk sortir transaksi.</t>
    </r>
  </si>
  <si>
    <t>Ny. IRA MAYASITA, ST</t>
  </si>
  <si>
    <t>Molto</t>
  </si>
  <si>
    <r>
      <rPr>
        <rFont val="&quot;Google Sans&quot;, Arial"/>
        <color theme="1"/>
        <sz val="15.0"/>
      </rPr>
      <t>⚡</t>
    </r>
    <r>
      <rPr>
        <rFont val="&quot;Google Sans&quot;, Arial"/>
        <color theme="1"/>
        <sz val="10.0"/>
      </rPr>
      <t xml:space="preserve"> Beberapa fitur pada spreadsheet ini kemungkinan </t>
    </r>
    <r>
      <rPr>
        <rFont val="&quot;Google Sans&quot;, Arial"/>
        <b/>
        <color rgb="FFD14D72"/>
        <sz val="10.0"/>
      </rPr>
      <t>belum support jika digunakan lewat aplikasi Excel</t>
    </r>
    <r>
      <rPr>
        <rFont val="&quot;Google Sans&quot;, Arial"/>
        <color theme="1"/>
        <sz val="10.0"/>
      </rPr>
      <t>. Untuk penggunaan maksimal, pastikan hanya melakukan editing lewat Google sheet.</t>
    </r>
  </si>
  <si>
    <r>
      <rPr>
        <rFont val="&quot;Google Sans&quot;, Arial"/>
        <sz val="15.0"/>
      </rPr>
      <t>⚡</t>
    </r>
    <r>
      <rPr>
        <rFont val="&quot;Google Sans&quot;, Arial"/>
        <sz val="10.0"/>
      </rPr>
      <t xml:space="preserve"> Untuk lebih banyak pertanyaan terkait fitur dan cara menggunakan template ini, silahkan kontak saya langsung di X (Twitter) </t>
    </r>
    <r>
      <rPr>
        <rFont val="&quot;Google Sans&quot;, Arial"/>
        <b/>
        <color rgb="FF1155CC"/>
        <sz val="10.0"/>
        <u/>
      </rPr>
      <t>@andreqve</t>
    </r>
  </si>
  <si>
    <t>Ny. NOVITA SARI</t>
  </si>
  <si>
    <t>Sesi Terapi</t>
  </si>
  <si>
    <t>Laundry Handuk</t>
  </si>
  <si>
    <t>Cetak Banner Pengumuman</t>
  </si>
  <si>
    <t>Sikat Gigi</t>
  </si>
  <si>
    <t>Perlu diperhatikan, template ini hanya boleh digunakan oleh pembeli asli dan tidak diperkenankan untuk dibagikan atau dijual kembali, baik sebagian maupun seluruhnya. Setiap pelanggaran atas hak cipta ini akan dihadapkan pada tindakan hukum sesuai dengan peraturan yang berlaku.</t>
  </si>
  <si>
    <t>Ny. Jaimah</t>
  </si>
  <si>
    <t>Tn. MUJIBURRAHMAN</t>
  </si>
  <si>
    <t>Terima kasih karena sudah mendukung Template Google sheet ini lewat KaryaKarsa! :)</t>
  </si>
  <si>
    <r>
      <rPr>
        <rFont val="Google Sans"/>
        <sz val="9.0"/>
      </rPr>
      <t xml:space="preserve">by: </t>
    </r>
    <r>
      <rPr>
        <rFont val="Google Sans"/>
        <b/>
        <color rgb="FF1155CC"/>
        <sz val="9.0"/>
        <u/>
      </rPr>
      <t>@andreqve</t>
    </r>
  </si>
  <si>
    <t xml:space="preserve">Paket Terapi 1  </t>
  </si>
  <si>
    <t>Ny. Julia</t>
  </si>
  <si>
    <t>Beban Pelayanan Dewasa</t>
  </si>
  <si>
    <t>Batrai A3</t>
  </si>
  <si>
    <t>Tisu</t>
  </si>
  <si>
    <t>Tn. Hengky chandra</t>
  </si>
  <si>
    <t>Beban Parkir</t>
  </si>
  <si>
    <t>Baby Oil</t>
  </si>
  <si>
    <t>Parkir</t>
  </si>
  <si>
    <t>Ny. Sofiana mandawati</t>
  </si>
  <si>
    <t>TRF</t>
  </si>
  <si>
    <t>Beban ATK</t>
  </si>
  <si>
    <t>Ny. SETIAWATI</t>
  </si>
  <si>
    <t>Laminating</t>
  </si>
  <si>
    <t xml:space="preserve">Paket Terapi 2 </t>
  </si>
  <si>
    <t>Beban pemeliharaan bangunan</t>
  </si>
  <si>
    <t>Solatip Pipa</t>
  </si>
  <si>
    <t>Nn. Mira</t>
  </si>
  <si>
    <t>Gel Us</t>
  </si>
  <si>
    <t>Bulan</t>
  </si>
  <si>
    <t>Ny. JAIMAH</t>
  </si>
  <si>
    <t>Januari</t>
  </si>
  <si>
    <t>Februari</t>
  </si>
  <si>
    <t>Maret</t>
  </si>
  <si>
    <t>April</t>
  </si>
  <si>
    <t>Mei</t>
  </si>
  <si>
    <t>Juni</t>
  </si>
  <si>
    <t>Juli</t>
  </si>
  <si>
    <t>Agustus</t>
  </si>
  <si>
    <t>September</t>
  </si>
  <si>
    <t>Oktober</t>
  </si>
  <si>
    <t>November</t>
  </si>
  <si>
    <t>Desember</t>
  </si>
  <si>
    <t>Beban pemeliharaan peralatan</t>
  </si>
  <si>
    <t>Saldo Awal</t>
  </si>
  <si>
    <t>Service AC</t>
  </si>
  <si>
    <t>Beban Promosi</t>
  </si>
  <si>
    <t>Foto Studio</t>
  </si>
  <si>
    <t>Service AC Gree</t>
  </si>
  <si>
    <t>Tn. Tjhang Fendi</t>
  </si>
  <si>
    <t>Ig Ads</t>
  </si>
  <si>
    <t>Tn. RASYID MUKHTABAR</t>
  </si>
  <si>
    <t>Pemasukan</t>
  </si>
  <si>
    <t>Tn. Zulfahmi</t>
  </si>
  <si>
    <t>Tali</t>
  </si>
  <si>
    <t>Tn. Albert Kadir</t>
  </si>
  <si>
    <t>Infus Vit C</t>
  </si>
  <si>
    <t>Mineral 330ml/box</t>
  </si>
  <si>
    <t>Ny. CATHARINA DJUNAIDI</t>
  </si>
  <si>
    <t>Tn. IRVAN YUSSIANDI</t>
  </si>
  <si>
    <t>Galon</t>
  </si>
  <si>
    <t>Tn. Ade Mariadi</t>
  </si>
  <si>
    <t>Beban Telepon dan Internet</t>
  </si>
  <si>
    <t>Pulsa</t>
  </si>
  <si>
    <t>Lampu</t>
  </si>
  <si>
    <t>Tn. WASIMAN</t>
  </si>
  <si>
    <t>Dashboard Laporan Transaksi 📊</t>
  </si>
  <si>
    <t>Tahun:</t>
  </si>
  <si>
    <t>Kabel Roll</t>
  </si>
  <si>
    <t>Kunci Pas</t>
  </si>
  <si>
    <t>Nn. Queenshya Theda Dilans</t>
  </si>
  <si>
    <t>Bulan:</t>
  </si>
  <si>
    <t>Tn. DULHADI USMAN</t>
  </si>
  <si>
    <t>Terapi Awal Homevisit</t>
  </si>
  <si>
    <t>Lakban</t>
  </si>
  <si>
    <t>Kunci 14</t>
  </si>
  <si>
    <t>Ringkasan Bulanan 📊</t>
  </si>
  <si>
    <t>Ny. Ani Roniah</t>
  </si>
  <si>
    <t>Total Pemeriksaan</t>
  </si>
  <si>
    <t>Bohlam</t>
  </si>
  <si>
    <t>Nilai Transaksi</t>
  </si>
  <si>
    <t>Sesi terapi Homevisit</t>
  </si>
  <si>
    <t>Total Pengeluaran</t>
  </si>
  <si>
    <t>Laba Bersih</t>
  </si>
  <si>
    <t>Ny. Queenshya Theda Dilans</t>
  </si>
  <si>
    <t>Kertas F4</t>
  </si>
  <si>
    <t>Map Kancing</t>
  </si>
  <si>
    <t>Pad Tens</t>
  </si>
  <si>
    <t>Ny. SRI WAHYUNI</t>
  </si>
  <si>
    <t>Knesio Tapping</t>
  </si>
  <si>
    <t>Paket Terapi Homevisit</t>
  </si>
  <si>
    <t>Soda Api</t>
  </si>
  <si>
    <t>Tn. Albert kadir</t>
  </si>
  <si>
    <t>Besi Leg Press</t>
  </si>
  <si>
    <t>Tn. Noval Agung Setiady</t>
  </si>
  <si>
    <t>Beban Rapat</t>
  </si>
  <si>
    <t>Zoom Premium</t>
  </si>
  <si>
    <t>Ny. WIWIN SURYANI</t>
  </si>
  <si>
    <t>Pewangi Gantung</t>
  </si>
  <si>
    <t>Ny. ERISKA DEWI MANIZA</t>
  </si>
  <si>
    <t>Alcohol Swipe</t>
  </si>
  <si>
    <t>Ny. BONG SU JUN</t>
  </si>
  <si>
    <t>Tn. Okky riski hendrawan</t>
  </si>
  <si>
    <t>Laporan Harian 📊</t>
  </si>
  <si>
    <t>Gunting Tapping</t>
  </si>
  <si>
    <t>Start   🡓</t>
  </si>
  <si>
    <t>🡓   End</t>
  </si>
  <si>
    <t>Colokan Cas Hp</t>
  </si>
  <si>
    <t>Nn. Sri Rezeki</t>
  </si>
  <si>
    <t>Rekap Jenis Pemeriksaan 💊</t>
  </si>
  <si>
    <t>Rekap Transaksi Dokter 🩺</t>
  </si>
  <si>
    <t>Nama Paket/Obat</t>
  </si>
  <si>
    <t>Ny. Bong Su Jun</t>
  </si>
  <si>
    <t>US Gel</t>
  </si>
  <si>
    <t>Total</t>
  </si>
  <si>
    <t>Catatan</t>
  </si>
  <si>
    <t>Tn. ALifin L</t>
  </si>
  <si>
    <t>Nama Dokter</t>
  </si>
  <si>
    <t>Sabun Cuci Tangan</t>
  </si>
  <si>
    <t>Kulid Bad</t>
  </si>
  <si>
    <t>Staples Besar</t>
  </si>
  <si>
    <t>Isi Staples</t>
  </si>
  <si>
    <t>Tn. RAHMAD</t>
  </si>
  <si>
    <t>Handscoon</t>
  </si>
  <si>
    <t>Tn. DRS. LUTHFI</t>
  </si>
  <si>
    <t>Konsumsi Promosi</t>
  </si>
  <si>
    <t>Tn. Dandi Andika</t>
  </si>
  <si>
    <t>Minuman Promosi</t>
  </si>
  <si>
    <t>Makanan Promosi</t>
  </si>
  <si>
    <t xml:space="preserve">Pulsa </t>
  </si>
  <si>
    <t>Tn. Karmin</t>
  </si>
  <si>
    <t>Pulpen</t>
  </si>
  <si>
    <t>Clipboard</t>
  </si>
  <si>
    <t>Plastik Sampah</t>
  </si>
  <si>
    <t>Beban Pelayanan Anak</t>
  </si>
  <si>
    <t>Tisu Basah</t>
  </si>
  <si>
    <t>Beban Gaji Pegawai</t>
  </si>
  <si>
    <t>GAJI</t>
  </si>
  <si>
    <t>Ny. Sachdat</t>
  </si>
  <si>
    <t>Tn. Rio Pratama</t>
  </si>
  <si>
    <t>Marina</t>
  </si>
  <si>
    <t>Serbet</t>
  </si>
  <si>
    <t>Tn. Hamdani</t>
  </si>
  <si>
    <t>Tn. Dandi andika</t>
  </si>
  <si>
    <t>Canva</t>
  </si>
  <si>
    <t>Cuci AC</t>
  </si>
  <si>
    <t>Tn. Eric oktavianus</t>
  </si>
  <si>
    <t>Plester</t>
  </si>
  <si>
    <t>Cap Cut Pro</t>
  </si>
  <si>
    <t>Bendera Segitiga</t>
  </si>
  <si>
    <t>Bendera Tangkai</t>
  </si>
  <si>
    <t>Stiker Bendera</t>
  </si>
  <si>
    <t>Beban Operasional Kantor</t>
  </si>
  <si>
    <t>Bendera Merah Putih</t>
  </si>
  <si>
    <t>Bendera Tali</t>
  </si>
  <si>
    <t>Doubletape</t>
  </si>
  <si>
    <t>Tn. YULIANUS</t>
  </si>
  <si>
    <t>Baterai</t>
  </si>
  <si>
    <t>marina</t>
  </si>
  <si>
    <t>Tn. ADI</t>
  </si>
  <si>
    <t>Mineral 550ml/box</t>
  </si>
  <si>
    <t>Latex</t>
  </si>
  <si>
    <t>Plakat &amp; kotak</t>
  </si>
  <si>
    <t>Standing Banner</t>
  </si>
  <si>
    <t>Beban Konsumsi</t>
  </si>
  <si>
    <t>Konsumsi 17an</t>
  </si>
  <si>
    <t>Air Mineral</t>
  </si>
  <si>
    <t>gelas plastik</t>
  </si>
  <si>
    <t>Tn. Age setiyanto</t>
  </si>
  <si>
    <t>Hit Aer Lily Blossom</t>
  </si>
  <si>
    <t>Stella Air Freshner Balinese Jamine</t>
  </si>
  <si>
    <t>Es batu</t>
  </si>
  <si>
    <t>Alkohol Swab</t>
  </si>
  <si>
    <t>Tn. Dedy sutanto</t>
  </si>
  <si>
    <t>Air MIneral 2 Kotak</t>
  </si>
  <si>
    <t>Tn. Hadi Sedyatma Wijaya</t>
  </si>
  <si>
    <t>es batu</t>
  </si>
  <si>
    <t>Voucher Listrik</t>
  </si>
  <si>
    <t>Penutup Ventilasi</t>
  </si>
  <si>
    <t>Minuman</t>
  </si>
  <si>
    <t>Tn. AIDIN</t>
  </si>
  <si>
    <t>Mineral 600ml/box</t>
  </si>
  <si>
    <t>Tn. ARDI</t>
  </si>
  <si>
    <t>Clip Board</t>
  </si>
  <si>
    <t>Tn. Miswan</t>
  </si>
  <si>
    <t>Hansapast Plester</t>
  </si>
  <si>
    <t>Kasa</t>
  </si>
  <si>
    <t>Plastik Warp</t>
  </si>
  <si>
    <t>Tak terduga</t>
  </si>
  <si>
    <t>Tn. Jiukham</t>
  </si>
  <si>
    <t>Tinta Hitam Printer</t>
  </si>
  <si>
    <t>handscoon</t>
  </si>
  <si>
    <t>Gel US</t>
  </si>
  <si>
    <t>Cup Minuman</t>
  </si>
  <si>
    <t>THROMBOPHON GEL</t>
  </si>
  <si>
    <t>Hot In DCL</t>
  </si>
  <si>
    <t>Mineral 200ml/box</t>
  </si>
  <si>
    <t>Tn. Martian Goldwin</t>
  </si>
  <si>
    <t>Double Tape</t>
  </si>
  <si>
    <t>Double Foam</t>
  </si>
  <si>
    <t>Tn. KON PIT SU</t>
  </si>
  <si>
    <t>Laundry Handuk &amp; Tas Homecare</t>
  </si>
  <si>
    <t>Lem Fox</t>
  </si>
  <si>
    <t>Tn. Andika angga riadi</t>
  </si>
  <si>
    <t xml:space="preserve">Air Mineral 24 </t>
  </si>
  <si>
    <t>canva pro 1 tahun</t>
  </si>
  <si>
    <t>stella</t>
  </si>
  <si>
    <t>Air Mineral 330ml 10dus</t>
  </si>
  <si>
    <t>Tn. Tjung Chin khong</t>
  </si>
  <si>
    <t>Total gaji + partime</t>
  </si>
  <si>
    <t>Gaji Pengganti Admin</t>
  </si>
  <si>
    <t>Rp. 2.500</t>
  </si>
  <si>
    <t>Tn. SURYA NENGSIH</t>
  </si>
  <si>
    <t>Pad Tes</t>
  </si>
  <si>
    <t>Las Kursi</t>
  </si>
  <si>
    <t>Ny. Hanna Putri Priandi</t>
  </si>
  <si>
    <t>Gel US 2 Pcs</t>
  </si>
  <si>
    <t>Steker Infra Red</t>
  </si>
  <si>
    <t>Tn. Jumari</t>
  </si>
  <si>
    <t>Ny. KON PIT SU</t>
  </si>
  <si>
    <t>Jarum Dry Needling</t>
  </si>
  <si>
    <t>Ny. SURYA NENGSIH</t>
  </si>
  <si>
    <t>Adaptor WiFi</t>
  </si>
  <si>
    <t>Tn. HO SE SEN</t>
  </si>
  <si>
    <t>Hook Tempelan</t>
  </si>
  <si>
    <t>Kotak Dry Needling</t>
  </si>
  <si>
    <t>Ny. ASNI</t>
  </si>
  <si>
    <t>Tn. M. Azka Putra Bayu</t>
  </si>
  <si>
    <t>SNR</t>
  </si>
  <si>
    <t>Ny. URAI ROSANTI</t>
  </si>
  <si>
    <t>Loundry</t>
  </si>
  <si>
    <t>Mineral 10 Kotak</t>
  </si>
  <si>
    <t>Tn. BAYU MARTIN</t>
  </si>
  <si>
    <t>Stella Gantung</t>
  </si>
  <si>
    <t xml:space="preserve">Tn. BAMBANG CAHYO W </t>
  </si>
  <si>
    <t>Pen</t>
  </si>
  <si>
    <t>Kulit Bed</t>
  </si>
  <si>
    <t xml:space="preserve">Es Batu </t>
  </si>
  <si>
    <t>Ny. Li Sian</t>
  </si>
  <si>
    <t>Marina Lotion</t>
  </si>
  <si>
    <t>Handbody</t>
  </si>
  <si>
    <t>Pewangi Ruangan Sprai</t>
  </si>
  <si>
    <t>Ny. Nopi Ariska</t>
  </si>
  <si>
    <t>Duplikat Kunci</t>
  </si>
  <si>
    <t>Gaji</t>
  </si>
  <si>
    <t>Ny. Ng li kian</t>
  </si>
  <si>
    <t>Ongkir</t>
  </si>
  <si>
    <t xml:space="preserve">Voucher Listrik </t>
  </si>
  <si>
    <t>Tinta CMY Printer</t>
  </si>
  <si>
    <t>Ny. NORHAYATI</t>
  </si>
  <si>
    <t>Tn. ARYANDI DWIKA PRAMULIA</t>
  </si>
  <si>
    <t>Sumbangan masjid</t>
  </si>
  <si>
    <t>An. Muhammad Keano</t>
  </si>
  <si>
    <t>Gelas</t>
  </si>
  <si>
    <t>Tn.  Ade Maiadi</t>
  </si>
  <si>
    <t>Pewangi Dahlia</t>
  </si>
  <si>
    <t>Tn. dr. Alvons Octavian</t>
  </si>
  <si>
    <t>Ny. Putri dewi</t>
  </si>
  <si>
    <t>Sambungan Kepala Charger HP Admin</t>
  </si>
  <si>
    <t>Ny. GHILZAH MUSHAFFA</t>
  </si>
  <si>
    <t>Gelas Plasstik</t>
  </si>
  <si>
    <t>Tn. PERIYANTO</t>
  </si>
  <si>
    <t>Minuman rapat Running Event</t>
  </si>
  <si>
    <t>Loundry Handuk</t>
  </si>
  <si>
    <t>Tn. Yulianus</t>
  </si>
  <si>
    <t>Cetak Voucer</t>
  </si>
  <si>
    <t>es Batu</t>
  </si>
  <si>
    <t>Baterai AAA</t>
  </si>
  <si>
    <t>Es Batu Event</t>
  </si>
  <si>
    <t>Ny. Nur Khasanah</t>
  </si>
  <si>
    <t>voucher Listrik</t>
  </si>
  <si>
    <t>Ny. DJAU LIE FA</t>
  </si>
  <si>
    <t>Air Mineral Maskua 15 Kotak</t>
  </si>
  <si>
    <t>Tape-x</t>
  </si>
  <si>
    <t>Tn. Kon kong kie</t>
  </si>
  <si>
    <t>Case SSD</t>
  </si>
  <si>
    <t>Tn. Hansel</t>
  </si>
  <si>
    <t>Plastik Clip</t>
  </si>
  <si>
    <t>Tn. Hassanuddin</t>
  </si>
  <si>
    <t>Tn. Evans arfeb puitama</t>
  </si>
  <si>
    <t>Nama Usaha</t>
  </si>
  <si>
    <t>Tn. HASANUDDIN</t>
  </si>
  <si>
    <t>Jenis Pemeriksaan / Obat</t>
  </si>
  <si>
    <t xml:space="preserve">Harga Paket Pemeriksaan </t>
  </si>
  <si>
    <t>Jenis Pengeluaran</t>
  </si>
  <si>
    <t>Fisioterapi Gang Sehat Singkawang</t>
  </si>
  <si>
    <t xml:space="preserve">New Paket Terapi 1  </t>
  </si>
  <si>
    <t>Cetak Pengumuman</t>
  </si>
  <si>
    <t xml:space="preserve">New Paket Terapi 2 </t>
  </si>
  <si>
    <t>New Paket Terapi 3</t>
  </si>
  <si>
    <t>Beban PDAM</t>
  </si>
  <si>
    <t>New Sesi Terapi</t>
  </si>
  <si>
    <t>Loundry handuk</t>
  </si>
  <si>
    <t>New Sesi terapi Homevisit</t>
  </si>
  <si>
    <t>New Sesi terapi Homevisit + Jarak</t>
  </si>
  <si>
    <t>New Paket Terapi Homevisit</t>
  </si>
  <si>
    <t>Beban acara dan pertemuan</t>
  </si>
  <si>
    <t>New Paket Terapi Homevisit+ Jarak</t>
  </si>
  <si>
    <t>Beban Jasa</t>
  </si>
  <si>
    <t>Beban Hutang Bank</t>
  </si>
  <si>
    <t>Terapi Awal Homevisit + Jarak</t>
  </si>
  <si>
    <t>Beban HPP Anak</t>
  </si>
  <si>
    <t>Sesi terapi Homevisit + Jarak</t>
  </si>
  <si>
    <t>Beban HPP Dewasa</t>
  </si>
  <si>
    <t>Paket Terapi Homevisit+ Jarak</t>
  </si>
  <si>
    <t>Voucer Listrik</t>
  </si>
  <si>
    <t>Zoom</t>
  </si>
  <si>
    <t>Stella Pewangi Ruangan</t>
  </si>
  <si>
    <t>Hit anti Nyamuk</t>
  </si>
  <si>
    <t>Pengeluaran</t>
  </si>
  <si>
    <t xml:space="preserve">Mouse Wireless </t>
  </si>
  <si>
    <t>pewangi gantung</t>
  </si>
  <si>
    <t>Tn. HILMAN AMRULLAH</t>
  </si>
  <si>
    <t xml:space="preserve">Tn. Hansel sebastian </t>
  </si>
  <si>
    <t>Ny. ELIESTIA UTAMI</t>
  </si>
  <si>
    <t>Ny. RA. HERA SUCIATI AMINAH</t>
  </si>
  <si>
    <t>Ny. Komalasari</t>
  </si>
  <si>
    <t>Ny. Sun khim moi</t>
  </si>
  <si>
    <t>Ny. MARIANA</t>
  </si>
  <si>
    <t>Tn. Zuliansyah Mauludin</t>
  </si>
  <si>
    <t>Ny. Selvi</t>
  </si>
  <si>
    <t>Nn. MARIANA</t>
  </si>
  <si>
    <t>Ny. Riani</t>
  </si>
  <si>
    <t>Ny. MARJIANA MUSA</t>
  </si>
  <si>
    <t>Tn. NG SAU FUI</t>
  </si>
  <si>
    <t>Tn. Iwan kurniawan</t>
  </si>
  <si>
    <t>Ny. LI SIAT FONG</t>
  </si>
  <si>
    <t>Tn. TAMIN</t>
  </si>
  <si>
    <t>Tn. M. Zaki bayu martin</t>
  </si>
  <si>
    <t>Tn. Danu frakhesit</t>
  </si>
  <si>
    <t>Tn. M H Darma Setiawan</t>
  </si>
  <si>
    <t>Tn. CHANG MIAU FUI</t>
  </si>
  <si>
    <t>Ny. NELLY ASMITA</t>
  </si>
  <si>
    <t>Nn. Syafira resty</t>
  </si>
  <si>
    <t>Tn. Yansen</t>
  </si>
  <si>
    <t>Ny. Waskaryanti</t>
  </si>
  <si>
    <t>Tn. Abdul Rahim</t>
  </si>
  <si>
    <t>Ny. ANYUN</t>
  </si>
  <si>
    <t>Tn. Djong ket bun</t>
  </si>
  <si>
    <t>Tn. YANSEN EFRID SIN</t>
  </si>
  <si>
    <t xml:space="preserve">Tn. Muhammad Haikal </t>
  </si>
  <si>
    <t>Ny. dr. FETRIA NUR ANNISA ENOCH</t>
  </si>
  <si>
    <t>Tn. SUPRIYANTO</t>
  </si>
  <si>
    <t>Ny. TJEUW SIN FA</t>
  </si>
  <si>
    <t>Ny. NURUL HUDA,Amd.Keb</t>
  </si>
  <si>
    <t>Tn. Baldwin</t>
  </si>
  <si>
    <t>Tn. DICKY CHANDRA MAULANA</t>
  </si>
  <si>
    <t xml:space="preserve">Tn. Haris Saputra </t>
  </si>
  <si>
    <t>Tn. SURYANTO</t>
  </si>
  <si>
    <t>Nn. TANSA TRISNA</t>
  </si>
  <si>
    <t>Tn. COKI IRVING BERNARD</t>
  </si>
  <si>
    <t>Tn. ANTONIUS</t>
  </si>
  <si>
    <t>Tn. ILHAMSYAH</t>
  </si>
  <si>
    <t>Nn. ARUMI SHANUM RIFANY</t>
  </si>
  <si>
    <t>Tn. IRWANTO</t>
  </si>
  <si>
    <t>Tn. Redhy Matabean</t>
  </si>
  <si>
    <t>Nn. Indah Wijaya</t>
  </si>
  <si>
    <t xml:space="preserve">Ny. Phang djiu djan </t>
  </si>
  <si>
    <t>Tn. Nurrizal Andiansyah Rachman</t>
  </si>
  <si>
    <t>Tn. Riyan sujatmiko</t>
  </si>
  <si>
    <t>Tn. R.Ade Herman Nurpiyanto</t>
  </si>
  <si>
    <t xml:space="preserve">Ny. Evi Novitasari </t>
  </si>
  <si>
    <t>Ny. PAULINE GARCIA</t>
  </si>
  <si>
    <t xml:space="preserve">Tn. Evi Novitasari </t>
  </si>
  <si>
    <t>Ny. Ritawati Lo</t>
  </si>
  <si>
    <t>Tn, Tjong Tin Khiong</t>
  </si>
  <si>
    <t>Tn. Phan Tjun Khiat</t>
  </si>
  <si>
    <t>Ny. Pramita</t>
  </si>
  <si>
    <t>Tn. MUH CHEYRULL RAMADHAN</t>
  </si>
  <si>
    <t>Laporan Laba Rugi</t>
  </si>
  <si>
    <t>Laba Sebelum Pajak</t>
  </si>
  <si>
    <t>Pajak</t>
  </si>
  <si>
    <t>Tn. Munadi</t>
  </si>
  <si>
    <t>An. KHALID ASY SYAUQANI</t>
  </si>
  <si>
    <t>Tn. BOJES</t>
  </si>
  <si>
    <t>Ny. SRI RUSMIATI</t>
  </si>
  <si>
    <t>Tn. BUDI ARIA KUMARA</t>
  </si>
  <si>
    <t>Tn. Lukman</t>
  </si>
  <si>
    <t>Nn. PAULINE GARCIA</t>
  </si>
  <si>
    <t>Ny. EMI ERIYAWATI</t>
  </si>
  <si>
    <t>Ny. LINAWATI</t>
  </si>
  <si>
    <t>Tn. Achmad aswira</t>
  </si>
  <si>
    <t>Tn. Sutrisno</t>
  </si>
  <si>
    <t>Ny. Fitriana lathifah</t>
  </si>
  <si>
    <t>Tn. JUMADI</t>
  </si>
  <si>
    <t>Tn. Joko suselo</t>
  </si>
  <si>
    <t>Tn. Alved Prayoga</t>
  </si>
  <si>
    <t>Tn. Fuad</t>
  </si>
  <si>
    <t>Ny. PITRI</t>
  </si>
  <si>
    <t xml:space="preserve">Tn. EDRIYAN PRANATA </t>
  </si>
  <si>
    <t>Tn. DJONG JONO</t>
  </si>
  <si>
    <t>Ny. Lisa</t>
  </si>
  <si>
    <t>Tn. BILLY SADERA</t>
  </si>
  <si>
    <t>Ny. Margaretta Christian Djoni</t>
  </si>
  <si>
    <t>Ny. Tjen sui fung</t>
  </si>
  <si>
    <t>Tn. HAPIDI PUTRA</t>
  </si>
  <si>
    <t>Tn. Carissa sunuwati</t>
  </si>
  <si>
    <t>Tn. BUDIMAN MANURUNG</t>
  </si>
  <si>
    <t>Tn. Chiakayuki</t>
  </si>
  <si>
    <t>Tn. WILLY KRISNA INDRA DEWA, S.Par</t>
  </si>
  <si>
    <t>Ny. SAPNI HERNAWATI</t>
  </si>
  <si>
    <t>Ny. ARIRY</t>
  </si>
  <si>
    <t xml:space="preserve">Tn. Rizky Aprizal </t>
  </si>
  <si>
    <t>Tn. Lai Tung Pen</t>
  </si>
  <si>
    <t>Tn. ONI SAPUTRA</t>
  </si>
  <si>
    <t xml:space="preserve">Ny. Lisa </t>
  </si>
  <si>
    <t>Ny. Mimi surgaya</t>
  </si>
  <si>
    <t xml:space="preserve">Tn. Abidur rohman </t>
  </si>
  <si>
    <t>Tn. Andika Rianata</t>
  </si>
  <si>
    <t>Ny. Surya Ningsih</t>
  </si>
  <si>
    <t>Tn. Hendrikus</t>
  </si>
  <si>
    <t>Tn. Phiong hian kong</t>
  </si>
  <si>
    <t>Nn. RINA</t>
  </si>
  <si>
    <t>Tn. Kevin alfarozi</t>
  </si>
  <si>
    <t>Tn. Fredy Andreas</t>
  </si>
  <si>
    <t>Tn. Arfi Rifadh</t>
  </si>
  <si>
    <t>Tn. Juandi</t>
  </si>
  <si>
    <t>Nn. Livianti</t>
  </si>
  <si>
    <t>Ny. Carissa sunuwati</t>
  </si>
  <si>
    <t xml:space="preserve">Tn. Budiman </t>
  </si>
  <si>
    <t>Tn. RUDIYANTO</t>
  </si>
  <si>
    <t xml:space="preserve">Tn. Darmawan </t>
  </si>
  <si>
    <t>Tn. Abdul Aziz</t>
  </si>
  <si>
    <t>Tn. Jahit</t>
  </si>
  <si>
    <t>Tn. Jamil</t>
  </si>
  <si>
    <t>Nn. Rina</t>
  </si>
  <si>
    <t xml:space="preserve">Tn. Muhammad Hanafi </t>
  </si>
  <si>
    <t>Tn. Rahmadino</t>
  </si>
  <si>
    <t>Ny. ritawati Lo</t>
  </si>
  <si>
    <t>Ny. Rizma Septiyanti</t>
  </si>
  <si>
    <t>Tn. rahmadino</t>
  </si>
  <si>
    <t>Tn. Hilman Amrullah</t>
  </si>
  <si>
    <t>Tn, Ng Sau Fui</t>
  </si>
  <si>
    <t xml:space="preserve"> Tn. Muh Chaerull</t>
  </si>
  <si>
    <t>Ny. Viona</t>
  </si>
  <si>
    <t>Tn. BONG TJAU THUNG</t>
  </si>
  <si>
    <t>Tn. Sutejo</t>
  </si>
  <si>
    <t>Tn. HENDRIKUS HERDI</t>
  </si>
  <si>
    <t>Tn. CIN MIAU KHIONG</t>
  </si>
  <si>
    <t>Ny. HO SIAW HA</t>
  </si>
  <si>
    <t xml:space="preserve">Tn. Andika rianata </t>
  </si>
  <si>
    <t>Tn. Hermawansyah</t>
  </si>
  <si>
    <t>Nn. Angela veronia</t>
  </si>
  <si>
    <t xml:space="preserve">Tn. Penta </t>
  </si>
  <si>
    <t>Tn. TOMMY SUDAYAT</t>
  </si>
  <si>
    <t xml:space="preserve"> Nn. Mustamira</t>
  </si>
  <si>
    <t>Rp.120.000</t>
  </si>
  <si>
    <t>An. Austyn Frederick</t>
  </si>
  <si>
    <t>Tn. YAN ARBI</t>
  </si>
  <si>
    <t>Tn. Andika Rianata Putra</t>
  </si>
  <si>
    <t>Tn. RAYMUND MARSHALL FAHRENHEIT RANDANG</t>
  </si>
  <si>
    <t>Tn. Muhammad Irfan Malik Fajar Setiawan</t>
  </si>
  <si>
    <t xml:space="preserve">Tn. Erwin </t>
  </si>
  <si>
    <t xml:space="preserve">Tn. HERY AGUSTIAN </t>
  </si>
  <si>
    <t>Tn. Yohanes Pasti</t>
  </si>
  <si>
    <t>Ny. Bun Tjhun Tju</t>
  </si>
  <si>
    <t>Tn. Hery Agustian</t>
  </si>
  <si>
    <t>Tn. Arief Wicaksana</t>
  </si>
  <si>
    <t xml:space="preserve">Tn. Sumardi </t>
  </si>
  <si>
    <t>Ny. Ng chun kin</t>
  </si>
  <si>
    <t>Tn. Rama Putra</t>
  </si>
  <si>
    <t>Tn. Nadif Arizona</t>
  </si>
  <si>
    <t>Tn. Gunarya</t>
  </si>
  <si>
    <t>Nn. Lie Ching</t>
  </si>
  <si>
    <t>Ny. VIVI JULIANTI</t>
  </si>
  <si>
    <t>Tn. AHMAD SUHAERI</t>
  </si>
  <si>
    <t>Tn. Ferdiansyah</t>
  </si>
  <si>
    <t>Ny. Sendy Winduvitri</t>
  </si>
  <si>
    <t>Tn. Handoko</t>
  </si>
  <si>
    <t>Ny. Su Pin</t>
  </si>
  <si>
    <t>Tn. Delvian Vias Tanestu</t>
  </si>
  <si>
    <t xml:space="preserve">Tn. NADIF ARIZONA </t>
  </si>
  <si>
    <t>Tn. Rifky Aditya</t>
  </si>
  <si>
    <t>Tn. Roby hermawan citra</t>
  </si>
  <si>
    <t>Tn. CALVIN SANVENSIUS</t>
  </si>
  <si>
    <t>Tn. Chong su</t>
  </si>
  <si>
    <t>Tn. Tjhang Aluin</t>
  </si>
  <si>
    <t>Nn. Riska Rahmadani</t>
  </si>
  <si>
    <t>Tn. Ansar</t>
  </si>
  <si>
    <t>Tn. Alfian Alif</t>
  </si>
  <si>
    <t>Ny, Rizma Septiyanti</t>
  </si>
  <si>
    <t>Ny. Wanis Aisyah Oktavia</t>
  </si>
  <si>
    <t>Ny. HENDRIYAMA</t>
  </si>
  <si>
    <t>Tn. SYAHRUDIN</t>
  </si>
  <si>
    <t>Tn. Hasrul</t>
  </si>
  <si>
    <t>Tn. Hengky</t>
  </si>
  <si>
    <t>Tn. Dede Maulana Fahrezi</t>
  </si>
  <si>
    <t>Ny. Melina</t>
  </si>
  <si>
    <t>Ny. LIZAWATI</t>
  </si>
  <si>
    <t xml:space="preserve">Tn. Julius </t>
  </si>
  <si>
    <t xml:space="preserve">Tn. Winsen </t>
  </si>
  <si>
    <t>Ny, Himawati</t>
  </si>
  <si>
    <t>Tn. M. Jeppiza</t>
  </si>
  <si>
    <t>Ny. HALIJAH</t>
  </si>
  <si>
    <t>Tn. Evinja Ijon</t>
  </si>
  <si>
    <t>Ny. KLARISSA</t>
  </si>
  <si>
    <t>Ny. Esti Riyanda</t>
  </si>
  <si>
    <t>Tn, Yoga Destyawardana</t>
  </si>
  <si>
    <t>Ny. Erna Lepia Dewi</t>
  </si>
  <si>
    <t>Tn, Sunomo</t>
  </si>
  <si>
    <t>Ny. Melyana elfrata</t>
  </si>
  <si>
    <t>Ny. Himawati</t>
  </si>
  <si>
    <t>Tn. Zarsani</t>
  </si>
  <si>
    <t>Ny. NG NYUN TJIN</t>
  </si>
  <si>
    <t>Tn. Lasarius Guntur</t>
  </si>
  <si>
    <t xml:space="preserve">Tn. Sutan Parada Hutasoit  </t>
  </si>
  <si>
    <t>Tn. Agustinus</t>
  </si>
  <si>
    <t>Tn. Sunomo</t>
  </si>
  <si>
    <t>Tn. Jumadi</t>
  </si>
  <si>
    <t>Nn. Roro Anjani Handayanti</t>
  </si>
  <si>
    <t>Tn. USMAN</t>
  </si>
  <si>
    <t>An. Wilson</t>
  </si>
  <si>
    <t>Tn. M. IMAM RIZKY RAMADHAN BARUS</t>
  </si>
  <si>
    <t>Ny. Janice Zaneta</t>
  </si>
  <si>
    <t>Ny. STELLA KARENCYA</t>
  </si>
  <si>
    <t>Ny. ANGELIA</t>
  </si>
  <si>
    <t>An. Delvian</t>
  </si>
  <si>
    <t>Tn. Pormantua Lubis</t>
  </si>
  <si>
    <t>Tn. Calvin Haryanto</t>
  </si>
  <si>
    <t>Tn. M. Ridha</t>
  </si>
  <si>
    <t>Tn. Genta</t>
  </si>
  <si>
    <t>Tn. Elmar</t>
  </si>
  <si>
    <t>Ny. Umi Sundari</t>
  </si>
  <si>
    <t>Ny. Darmani</t>
  </si>
  <si>
    <t>Tn. BAKER</t>
  </si>
  <si>
    <t>Tn. Billy Christian</t>
  </si>
  <si>
    <t>Tn. Apri Nurdianto</t>
  </si>
  <si>
    <t>Tn. Rendi Faisyal</t>
  </si>
  <si>
    <t>Tn. H. MUHAMMAD MISWAR</t>
  </si>
  <si>
    <t>Tn. Idrus</t>
  </si>
  <si>
    <t>Tn. Edo kuswono</t>
  </si>
  <si>
    <t>Tn. Bento</t>
  </si>
  <si>
    <t>Tn. Ali Hartono</t>
  </si>
  <si>
    <t>Tn.  Leo Dedy Anjiu</t>
  </si>
  <si>
    <t>Ny. Ries Anggreini</t>
  </si>
  <si>
    <t>Ny. Fam Melanie</t>
  </si>
  <si>
    <t>Ny. Sumarni</t>
  </si>
  <si>
    <t>Tn. BONG KIN JUN</t>
  </si>
  <si>
    <t>Tn. Aref Fadilah</t>
  </si>
  <si>
    <t>Tn. Vicky Prameswara</t>
  </si>
  <si>
    <t>Ny. Tiara Ritma Ratri</t>
  </si>
  <si>
    <t>Tn. Nur afiandi</t>
  </si>
  <si>
    <t>Tn. M. Sabhan</t>
  </si>
  <si>
    <t>Tn. Ahsan Rosyadi</t>
  </si>
  <si>
    <t>Ny. EKA SAPTARINI</t>
  </si>
  <si>
    <t>Tn. Jum'at Ardan</t>
  </si>
  <si>
    <t>Ny. Ayu Ambun Sari</t>
  </si>
  <si>
    <t>Tn. Darwinto</t>
  </si>
  <si>
    <t>Tn. Andika setiawan</t>
  </si>
  <si>
    <t>Tn. Nofian Beni Saputro</t>
  </si>
  <si>
    <t>Ny. Lie Tho Tjin</t>
  </si>
  <si>
    <t>Ny. nurul madaniyah</t>
  </si>
  <si>
    <t>Tn. Bun Nam Hin</t>
  </si>
  <si>
    <t>Ny. Sung Lie Ngo</t>
  </si>
  <si>
    <t>Ny. hon fui ha</t>
  </si>
  <si>
    <t>Tn. M. Irfan Noor</t>
  </si>
  <si>
    <t>Ny. Bun siat jan</t>
  </si>
  <si>
    <t>Tn. MARCELLO MUHAMMAD ZEND</t>
  </si>
  <si>
    <t>Nn. JESLYN AIGLENTINE</t>
  </si>
  <si>
    <t>Tn. Surya Hadi Putranto</t>
  </si>
  <si>
    <t>Tn. Feriyanto</t>
  </si>
  <si>
    <t xml:space="preserve">Tn. Beni Hendrawan </t>
  </si>
  <si>
    <t>Tn. Freddy Prasetio</t>
  </si>
  <si>
    <t>Ny. Tjhai fina</t>
  </si>
  <si>
    <t>Ny. SITI MURWATI</t>
  </si>
  <si>
    <t>Tn. Ricky Tristawan</t>
  </si>
  <si>
    <t>Tn. Setya Ajie Nugroho</t>
  </si>
  <si>
    <t>Tn. Eka Chandra</t>
  </si>
  <si>
    <t>Tn. Mukti Wibowo</t>
  </si>
  <si>
    <t>Tn. FREDDY PRASETIO</t>
  </si>
  <si>
    <t>Ny. Felisitas Vinka</t>
  </si>
  <si>
    <t>Tn. Rianto Priyadi</t>
  </si>
  <si>
    <t xml:space="preserve">Tn. Ilham Wahyudi </t>
  </si>
  <si>
    <t>Nn. Klarissa</t>
  </si>
  <si>
    <t>Ny, Megawati</t>
  </si>
  <si>
    <t xml:space="preserve">Tn. Hon fui ha </t>
  </si>
  <si>
    <t>Tn. Suharto</t>
  </si>
  <si>
    <t>Ny. Mohan Yuanita</t>
  </si>
  <si>
    <t>Tn. Gunawan</t>
  </si>
  <si>
    <t>An. Rasyid Al Ghifary</t>
  </si>
  <si>
    <t>Tn. Jamhari Basuni</t>
  </si>
  <si>
    <t>Tn. Bima Aditama</t>
  </si>
  <si>
    <t>Tn. Martinus, J</t>
  </si>
  <si>
    <t>Ny, Yustina</t>
  </si>
  <si>
    <t>Ny. ERICA TRECIA</t>
  </si>
  <si>
    <t>An. EDENTIUS SENDRAWINATA</t>
  </si>
  <si>
    <t>Tn. Edbert</t>
  </si>
  <si>
    <t>Ny. Florentina</t>
  </si>
  <si>
    <t>Tn. Wendy Sumilart</t>
  </si>
  <si>
    <t>Ny. Djong lie djung</t>
  </si>
  <si>
    <t>Ny. Paulina</t>
  </si>
  <si>
    <t>Tn. KARMIN</t>
  </si>
  <si>
    <t>Tn. Ikhwan Apriansyah</t>
  </si>
  <si>
    <t>Tn. HARI PURWANTO</t>
  </si>
  <si>
    <t>Tn. ARIE HIDAYAT</t>
  </si>
  <si>
    <t>Tn. ANDRIADI SAPUTRA</t>
  </si>
  <si>
    <t>Ny. Dian Hardiyanti</t>
  </si>
  <si>
    <t>Tn. Eliyansyah</t>
  </si>
  <si>
    <t>Nn. Novi</t>
  </si>
  <si>
    <t>Ny. Lusia heliawati</t>
  </si>
  <si>
    <t>Tn. Se Pheng Jhonson</t>
  </si>
  <si>
    <t>Nn. Finko</t>
  </si>
  <si>
    <t>Ny. ERNI PUTRI JANUARNI</t>
  </si>
  <si>
    <t>Ny. Tjhin siat tho</t>
  </si>
  <si>
    <t>Ny. Urai Devi Utami</t>
  </si>
  <si>
    <t>Tn. Tjai Saw Khiun</t>
  </si>
  <si>
    <t>Ny. Murni</t>
  </si>
  <si>
    <t>Ny. Devianty Halim</t>
  </si>
  <si>
    <t>Tn. Viorick chandra</t>
  </si>
  <si>
    <t>Tn. Billy Saadera</t>
  </si>
  <si>
    <t>Tn. Juniardi</t>
  </si>
  <si>
    <t>Tn. Humamm</t>
  </si>
  <si>
    <t>Tn. Alfiansyah</t>
  </si>
  <si>
    <t>Tn. ALVI ALBARI</t>
  </si>
  <si>
    <t>Ny. RATNA JUITA</t>
  </si>
  <si>
    <t>Ny. MURNI</t>
  </si>
  <si>
    <t>Ny. Pit Fui</t>
  </si>
  <si>
    <t>Tn. Rio Anggara</t>
  </si>
  <si>
    <t>Ny. Yeti</t>
  </si>
  <si>
    <t>Tn. Sabirin Bakti</t>
  </si>
  <si>
    <t>Tn. Noval Riadi</t>
  </si>
  <si>
    <t xml:space="preserve">Tn. Niko </t>
  </si>
  <si>
    <t>Tn. Herlan</t>
  </si>
  <si>
    <t>Tn. Sudirman</t>
  </si>
  <si>
    <t>Tn. Fajar Sidiq</t>
  </si>
  <si>
    <t>Tn. Asrori Naufal</t>
  </si>
  <si>
    <t>Ny. Yetti Suriati</t>
  </si>
  <si>
    <t>Tn. Alvi Albari</t>
  </si>
  <si>
    <t>Tn. Laurentius</t>
  </si>
  <si>
    <t>Ny. Tjhin Siat Tho</t>
  </si>
  <si>
    <t>Ny. Sahrum</t>
  </si>
  <si>
    <t>Tn. Mahrus</t>
  </si>
  <si>
    <t>Tn. Phin Kuet</t>
  </si>
  <si>
    <t>Tn. NURHADIYANTO</t>
  </si>
  <si>
    <t>Tn. Tedy Karsono</t>
  </si>
  <si>
    <t>Tn. Dedi Irawan SE, ME</t>
  </si>
  <si>
    <t>Tn. Hanafi</t>
  </si>
  <si>
    <t>Tn. Daeng Muhamad Tariq Aziz</t>
  </si>
  <si>
    <t>Ny. Devi</t>
  </si>
  <si>
    <t>Tn. Wongso</t>
  </si>
  <si>
    <t>Tn. RYAN SAPUTRA</t>
  </si>
  <si>
    <t>Tn. Bun Tet Fo</t>
  </si>
  <si>
    <t>Ny. Sariah</t>
  </si>
  <si>
    <t>Tn. M. Dwi Anugerah</t>
  </si>
  <si>
    <t>Tn. Rizki Zulfiansyah</t>
  </si>
  <si>
    <t>Ny. Mery Afrianti</t>
  </si>
  <si>
    <t>Ny. WIDIANTI</t>
  </si>
  <si>
    <t>Ny. Pertiwi</t>
  </si>
  <si>
    <t>Tn. DJAP NEN KIONG</t>
  </si>
  <si>
    <t>Ny. Dahlia Ramli</t>
  </si>
  <si>
    <t>Ny. LIE CAI NGO</t>
  </si>
  <si>
    <t>Ny. Henny Widayanti</t>
  </si>
  <si>
    <t>Ny. Tjung Shiu Ha</t>
  </si>
  <si>
    <t>Ny. Dasinah</t>
  </si>
  <si>
    <t>Tn. Jong Jie Fui</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</si>
</sst>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d&quot; &quot;mmmm&quot; &quot;"/>
    <numFmt numFmtId="165" formatCode="dddd&quot;, &quot;d&quot; &quot;mmmm&quot; &quot;yyyy"/>
    <numFmt numFmtId="166" formatCode="d&quot; &quot;mmmm&quot; &quot;yyyy"/>
    <numFmt numFmtId="167" formatCode="[$Rp]#,##0"/>
    <numFmt numFmtId="168" formatCode="mmmm&quot; &quot;yyyy"/>
    <numFmt numFmtId="169" formatCode="dd&quot; &quot;mmm&quot; &quot;yyyy"/>
    <numFmt numFmtId="170" formatCode="d&quot; &quot;mmm&quot; &quot;yyyy"/>
    <numFmt numFmtId="171" formatCode="[$Rp-421]#,##0.00"/>
    <numFmt numFmtId="172" formatCode="d mmm yyyy"/>
  </numFmts>
  <fonts count="60">
    <font>
      <sz val="10.0"/>
      <color rgb="FF000000"/>
      <name val="Arial"/>
      <scheme val="minor"/>
    </font>
    <font>
      <sz val="11.0"/>
      <color theme="1"/>
      <name val="Google Sans"/>
    </font>
    <font>
      <color theme="1"/>
      <name val="Google Sans"/>
    </font>
    <font>
      <b/>
      <sz val="11.0"/>
      <color rgb="FF0B5394"/>
      <name val="Google Sans"/>
    </font>
    <font>
      <b/>
      <sz val="15.0"/>
      <color rgb="FF4BB897"/>
      <name val="Google Sans"/>
    </font>
    <font/>
    <font>
      <b/>
      <sz val="20.0"/>
      <color rgb="FF16C2D5"/>
      <name val="Google Sans"/>
    </font>
    <font>
      <b/>
      <sz val="20.0"/>
      <color rgb="FFFF9E9E"/>
      <name val="Google Sans"/>
    </font>
    <font>
      <b/>
      <sz val="24.0"/>
      <color rgb="FF666666"/>
      <name val="&quot;docs-Google Sans&quot;"/>
    </font>
    <font>
      <sz val="10.0"/>
      <color rgb="FFD9D9D9"/>
      <name val="Google Sans"/>
    </font>
    <font>
      <b/>
      <color rgb="FF86C8BC"/>
      <name val="Google Sans"/>
    </font>
    <font>
      <b/>
      <color rgb="FFFF9E9E"/>
      <name val="Google Sans"/>
    </font>
    <font>
      <b/>
      <u/>
      <sz val="10.0"/>
      <color rgb="FFC499BA"/>
      <name val="Google Sans"/>
    </font>
    <font>
      <color rgb="FF0000FF"/>
      <name val="Google Sans"/>
    </font>
    <font>
      <b/>
      <sz val="11.0"/>
      <color rgb="FF434343"/>
      <name val="Google Sans"/>
    </font>
    <font>
      <sz val="11.0"/>
      <color rgb="FF000000"/>
      <name val="Google Sans"/>
    </font>
    <font>
      <b/>
      <sz val="10.0"/>
      <color rgb="FF000000"/>
      <name val="Google Sans"/>
    </font>
    <font>
      <b/>
      <sz val="11.0"/>
      <color rgb="FF000000"/>
      <name val="Google Sans"/>
    </font>
    <font>
      <b/>
      <u/>
      <sz val="11.0"/>
      <color rgb="FF000000"/>
      <name val="Google Sans"/>
    </font>
    <font>
      <b/>
      <u/>
      <sz val="12.0"/>
      <color rgb="FF4BB897"/>
      <name val="Google Sans"/>
    </font>
    <font>
      <b/>
      <sz val="10.0"/>
      <color theme="7"/>
      <name val="Google Sans"/>
    </font>
    <font>
      <sz val="10.0"/>
      <color theme="1"/>
      <name val="Google Sans"/>
    </font>
    <font>
      <b/>
      <sz val="11.0"/>
      <color rgb="FFC499BA"/>
      <name val="Google Sans"/>
    </font>
    <font>
      <sz val="9.0"/>
      <color theme="1"/>
      <name val="Google Sans"/>
    </font>
    <font>
      <sz val="10.0"/>
      <color rgb="FF000000"/>
      <name val="Google Sans"/>
    </font>
    <font>
      <u/>
      <sz val="10.0"/>
      <color rgb="FF000000"/>
      <name val="Google Sans"/>
    </font>
    <font>
      <b/>
      <sz val="11.0"/>
      <color rgb="FFF55353"/>
      <name val="Google Sans"/>
    </font>
    <font>
      <color theme="1"/>
      <name val="Arial"/>
    </font>
    <font>
      <sz val="10.0"/>
      <color theme="1"/>
      <name val="&quot;Google Sans&quot;"/>
    </font>
    <font>
      <sz val="10.0"/>
      <color rgb="FF0000FF"/>
      <name val="&quot;Google Sans&quot;"/>
    </font>
    <font>
      <b/>
      <i/>
      <color theme="1"/>
      <name val="&quot;Google Sans&quot;"/>
    </font>
    <font>
      <i/>
      <color theme="1"/>
      <name val="Google Sans"/>
    </font>
    <font>
      <u/>
      <sz val="9.0"/>
      <color rgb="FF0000FF"/>
      <name val="Google Sans"/>
    </font>
    <font>
      <sz val="10.0"/>
      <color theme="1"/>
      <name val="Arial"/>
      <scheme val="minor"/>
    </font>
    <font>
      <b/>
      <sz val="10.0"/>
      <color theme="1"/>
      <name val="Google Sans"/>
    </font>
    <font>
      <b/>
      <u/>
      <sz val="12.0"/>
      <color theme="1"/>
      <name val="Google Sans"/>
    </font>
    <font>
      <b/>
      <u/>
      <sz val="12.0"/>
      <color theme="1"/>
      <name val="Google Sans"/>
    </font>
    <font>
      <b/>
      <sz val="11.0"/>
      <color theme="1"/>
      <name val="Google Sans"/>
    </font>
    <font>
      <b/>
      <u/>
      <sz val="12.0"/>
      <color theme="1"/>
      <name val="Google Sans"/>
    </font>
    <font>
      <b/>
      <sz val="25.0"/>
      <color theme="1"/>
      <name val="Google Sans"/>
    </font>
    <font>
      <b/>
      <u/>
      <sz val="11.0"/>
      <color theme="1"/>
      <name val="Google Sans"/>
    </font>
    <font>
      <b/>
      <sz val="11.0"/>
      <color rgb="FFF7ECDE"/>
      <name val="Google Sans"/>
    </font>
    <font>
      <b/>
      <u/>
      <sz val="12.0"/>
      <color theme="1"/>
      <name val="Google Sans"/>
    </font>
    <font>
      <b/>
      <u/>
      <sz val="12.0"/>
      <color theme="1"/>
      <name val="Google Sans"/>
    </font>
    <font>
      <b/>
      <sz val="20.0"/>
      <color rgb="FF434343"/>
      <name val="Google Sans"/>
    </font>
    <font>
      <b/>
      <sz val="15.0"/>
      <color rgb="FF434343"/>
      <name val="Google Sans"/>
    </font>
    <font>
      <b/>
      <sz val="30.0"/>
      <color rgb="FF434343"/>
      <name val="Google Sans"/>
    </font>
    <font>
      <b/>
      <sz val="12.0"/>
      <color rgb="FF434343"/>
      <name val="Google Sans"/>
    </font>
    <font>
      <sz val="17.0"/>
      <color theme="1"/>
      <name val="Google Sans"/>
    </font>
    <font>
      <b/>
      <sz val="15.0"/>
      <color rgb="FF434343"/>
      <name val="&quot;Google Sans&quot;"/>
    </font>
    <font>
      <b/>
      <sz val="9.0"/>
      <color rgb="FFEA4335"/>
      <name val="&quot;Google Sans&quot;"/>
    </font>
    <font>
      <b/>
      <color rgb="FF434343"/>
      <name val="&quot;Google Sans&quot;"/>
    </font>
    <font>
      <sz val="12.0"/>
      <color theme="1"/>
      <name val="Google Sans"/>
    </font>
    <font>
      <sz val="10.0"/>
      <color rgb="FF434343"/>
      <name val="Google Sans"/>
    </font>
    <font>
      <color theme="1"/>
      <name val="Arial"/>
      <scheme val="minor"/>
    </font>
    <font>
      <sz val="10.0"/>
      <color rgb="FF1F1F1F"/>
      <name val="&quot;Google Sans&quot;"/>
    </font>
    <font>
      <b/>
      <sz val="10.0"/>
      <color rgb="FF434343"/>
      <name val="Google Sans"/>
    </font>
    <font>
      <b/>
      <color theme="1"/>
      <name val="Google Sans"/>
    </font>
    <font>
      <b/>
      <u/>
      <sz val="12.0"/>
      <color theme="1"/>
      <name val="Google Sans"/>
    </font>
    <font>
      <b/>
      <u/>
      <sz val="12.0"/>
      <color theme="1"/>
      <name val="Google Sans"/>
    </font>
  </fonts>
  <fills count="19">
    <fill>
      <patternFill patternType="none"/>
    </fill>
    <fill>
      <patternFill patternType="lightGray"/>
    </fill>
    <fill>
      <patternFill patternType="solid">
        <fgColor rgb="FFFFFFFF"/>
        <bgColor rgb="FFFFFFFF"/>
      </patternFill>
    </fill>
    <fill>
      <patternFill patternType="solid">
        <fgColor rgb="FFF0EBE3"/>
        <bgColor rgb="FFF0EBE3"/>
      </patternFill>
    </fill>
    <fill>
      <patternFill patternType="solid">
        <fgColor rgb="FFF4CCCC"/>
        <bgColor rgb="FFF4CCCC"/>
      </patternFill>
    </fill>
    <fill>
      <patternFill patternType="solid">
        <fgColor rgb="FFE4DCCF"/>
        <bgColor rgb="FFE4DCCF"/>
      </patternFill>
    </fill>
    <fill>
      <patternFill patternType="solid">
        <fgColor rgb="FFFF9E9E"/>
        <bgColor rgb="FFFF9E9E"/>
      </patternFill>
    </fill>
    <fill>
      <patternFill patternType="solid">
        <fgColor rgb="FFFFF2CC"/>
        <bgColor rgb="FFFFF2CC"/>
      </patternFill>
    </fill>
    <fill>
      <patternFill patternType="solid">
        <fgColor rgb="FFB7B7B7"/>
        <bgColor rgb="FFB7B7B7"/>
      </patternFill>
    </fill>
    <fill>
      <patternFill patternType="solid">
        <fgColor rgb="FFE9A178"/>
        <bgColor rgb="FFE9A178"/>
      </patternFill>
    </fill>
    <fill>
      <patternFill patternType="solid">
        <fgColor rgb="FFF7ECDE"/>
        <bgColor rgb="FFF7ECDE"/>
      </patternFill>
    </fill>
    <fill>
      <patternFill patternType="solid">
        <fgColor rgb="FF54BAB9"/>
        <bgColor rgb="FF54BAB9"/>
      </patternFill>
    </fill>
    <fill>
      <patternFill patternType="solid">
        <fgColor rgb="FFB7E1CD"/>
        <bgColor rgb="FFB7E1CD"/>
      </patternFill>
    </fill>
    <fill>
      <patternFill patternType="solid">
        <fgColor rgb="FF59CE8F"/>
        <bgColor rgb="FF59CE8F"/>
      </patternFill>
    </fill>
    <fill>
      <patternFill patternType="solid">
        <fgColor rgb="FFD9D9D9"/>
        <bgColor rgb="FFD9D9D9"/>
      </patternFill>
    </fill>
    <fill>
      <patternFill patternType="solid">
        <fgColor rgb="FFFFFF00"/>
        <bgColor rgb="FFFFFF00"/>
      </patternFill>
    </fill>
    <fill>
      <patternFill patternType="solid">
        <fgColor rgb="FFFF9900"/>
        <bgColor rgb="FFFF9900"/>
      </patternFill>
    </fill>
    <fill>
      <patternFill patternType="solid">
        <fgColor rgb="FFFF0000"/>
        <bgColor rgb="FFFF0000"/>
      </patternFill>
    </fill>
    <fill>
      <patternFill patternType="solid">
        <fgColor rgb="FF00FF00"/>
        <bgColor rgb="FF00FF00"/>
      </patternFill>
    </fill>
  </fills>
  <borders count="43">
    <border/>
    <border>
      <bottom style="dotted">
        <color rgb="FFD9D9D9"/>
      </bottom>
    </border>
    <border>
      <bottom style="thin">
        <color rgb="FFCCCCCC"/>
      </bottom>
    </border>
    <border>
      <top style="dotted">
        <color rgb="FFD9D9D9"/>
      </top>
      <bottom style="dotted">
        <color rgb="FFD9D9D9"/>
      </bottom>
    </border>
    <border>
      <right style="thin">
        <color rgb="FFFFFFFF"/>
      </right>
    </border>
    <border>
      <left style="thin">
        <color rgb="FFFFFFFF"/>
      </left>
      <right style="thin">
        <color rgb="FFFFFFFF"/>
      </right>
    </border>
    <border>
      <top style="dotted">
        <color rgb="FFD9D9D9"/>
      </top>
    </border>
    <border>
      <top style="thin">
        <color rgb="FFCCCCCC"/>
      </top>
      <bottom style="thin">
        <color rgb="FFCCCCCC"/>
      </bottom>
    </border>
    <border>
      <right style="thin">
        <color rgb="FFCCCCCC"/>
      </right>
      <top style="thin">
        <color rgb="FFCCCCCC"/>
      </top>
      <bottom style="thin">
        <color rgb="FFCCCCCC"/>
      </bottom>
    </border>
    <border>
      <left style="thin">
        <color rgb="FFCCCCCC"/>
      </left>
      <right style="thin">
        <color rgb="FFCCCCCC"/>
      </right>
      <top style="thin">
        <color rgb="FFCCCCCC"/>
      </top>
      <bottom style="thin">
        <color rgb="FFCCCCCC"/>
      </bottom>
    </border>
    <border>
      <left style="thin">
        <color rgb="FFCCCCCC"/>
      </left>
      <top style="thin">
        <color rgb="FFCCCCCC"/>
      </top>
      <bottom style="thin">
        <color rgb="FFCCCCCC"/>
      </bottom>
    </border>
    <border>
      <left style="thin">
        <color rgb="FFB7B7B7"/>
      </left>
      <top style="thin">
        <color rgb="FFB7B7B7"/>
      </top>
      <bottom style="thin">
        <color rgb="FFB7B7B7"/>
      </bottom>
    </border>
    <border>
      <top style="thin">
        <color rgb="FFB7B7B7"/>
      </top>
      <bottom style="thin">
        <color rgb="FFB7B7B7"/>
      </bottom>
    </border>
    <border>
      <right style="thin">
        <color rgb="FFB7B7B7"/>
      </right>
      <top style="thin">
        <color rgb="FFB7B7B7"/>
      </top>
      <bottom style="thin">
        <color rgb="FFB7B7B7"/>
      </bottom>
    </border>
    <border>
      <left style="thin">
        <color rgb="FFB7B7B7"/>
      </left>
      <right style="thin">
        <color rgb="FFB7B7B7"/>
      </right>
      <top style="thin">
        <color rgb="FFB7B7B7"/>
      </top>
      <bottom style="thin">
        <color rgb="FFB7B7B7"/>
      </bottom>
    </border>
    <border>
      <top style="medium">
        <color rgb="FF59CE8F"/>
      </top>
      <bottom style="medium">
        <color rgb="FF59CE8F"/>
      </bottom>
    </border>
    <border>
      <left style="medium">
        <color rgb="FFD9D9D9"/>
      </left>
      <top style="medium">
        <color rgb="FFD9D9D9"/>
      </top>
      <bottom style="double">
        <color rgb="FFD9D9D9"/>
      </bottom>
    </border>
    <border>
      <right style="medium">
        <color rgb="FFD9D9D9"/>
      </right>
      <top style="medium">
        <color rgb="FFD9D9D9"/>
      </top>
      <bottom style="double">
        <color rgb="FFD9D9D9"/>
      </bottom>
    </border>
    <border>
      <left style="medium">
        <color rgb="FFD9D9D9"/>
      </left>
    </border>
    <border>
      <right style="medium">
        <color rgb="FFD9D9D9"/>
      </right>
    </border>
    <border>
      <left style="medium">
        <color rgb="FFD9D9D9"/>
      </left>
      <bottom style="medium">
        <color rgb="FFD9D9D9"/>
      </bottom>
    </border>
    <border>
      <right style="medium">
        <color rgb="FFD9D9D9"/>
      </right>
      <bottom style="medium">
        <color rgb="FFD9D9D9"/>
      </bottom>
    </border>
    <border>
      <top style="medium">
        <color rgb="FF59CE8F"/>
      </top>
    </border>
    <border>
      <bottom style="medium">
        <color rgb="FF59CE8F"/>
      </bottom>
    </border>
    <border>
      <left style="medium">
        <color rgb="FFEFEFEF"/>
      </left>
      <top style="medium">
        <color rgb="FFEFEFEF"/>
      </top>
      <bottom style="thin">
        <color rgb="FFD9D9D9"/>
      </bottom>
    </border>
    <border>
      <right style="thin">
        <color rgb="FFFFFFFF"/>
      </right>
      <top style="medium">
        <color rgb="FFEFEFEF"/>
      </top>
      <bottom style="thin">
        <color rgb="FFD9D9D9"/>
      </bottom>
    </border>
    <border>
      <left style="thin">
        <color rgb="FFFFFFFF"/>
      </left>
      <right style="thin">
        <color rgb="FFFFFFFF"/>
      </right>
      <top style="medium">
        <color rgb="FFEFEFEF"/>
      </top>
      <bottom style="thin">
        <color rgb="FFD9D9D9"/>
      </bottom>
    </border>
    <border>
      <left style="thin">
        <color rgb="FFFFFFFF"/>
      </left>
      <right style="medium">
        <color rgb="FFEFEFEF"/>
      </right>
      <top style="medium">
        <color rgb="FFEFEFEF"/>
      </top>
      <bottom style="thin">
        <color rgb="FFD9D9D9"/>
      </bottom>
    </border>
    <border>
      <left style="medium">
        <color rgb="FFEFEFEF"/>
      </left>
      <bottom style="thin">
        <color rgb="FFEFEFEF"/>
      </bottom>
    </border>
    <border>
      <right style="thin">
        <color rgb="FFF3F3F3"/>
      </right>
      <bottom style="thin">
        <color rgb="FFEFEFEF"/>
      </bottom>
    </border>
    <border>
      <left style="thin">
        <color rgb="FFF3F3F3"/>
      </left>
      <right style="thin">
        <color rgb="FFF3F3F3"/>
      </right>
      <bottom style="thin">
        <color rgb="FFEFEFEF"/>
      </bottom>
    </border>
    <border>
      <left style="thin">
        <color rgb="FFF3F3F3"/>
      </left>
      <right style="medium">
        <color rgb="FFEFEFEF"/>
      </right>
      <bottom style="thin">
        <color rgb="FFEFEFEF"/>
      </bottom>
    </border>
    <border>
      <left style="medium">
        <color rgb="FFEFEFEF"/>
      </left>
      <top style="thin">
        <color rgb="FFEFEFEF"/>
      </top>
      <bottom style="thin">
        <color rgb="FFEFEFEF"/>
      </bottom>
    </border>
    <border>
      <right style="thin">
        <color rgb="FFF3F3F3"/>
      </right>
      <top style="thin">
        <color rgb="FFEFEFEF"/>
      </top>
      <bottom style="thin">
        <color rgb="FFEFEFEF"/>
      </bottom>
    </border>
    <border>
      <left style="thin">
        <color rgb="FFF3F3F3"/>
      </left>
      <right style="thin">
        <color rgb="FFF3F3F3"/>
      </right>
      <top style="thin">
        <color rgb="FFEFEFEF"/>
      </top>
      <bottom style="thin">
        <color rgb="FFEFEFEF"/>
      </bottom>
    </border>
    <border>
      <left style="thin">
        <color rgb="FFF3F3F3"/>
      </left>
      <right style="medium">
        <color rgb="FFEFEFEF"/>
      </right>
      <top style="thin">
        <color rgb="FFEFEFEF"/>
      </top>
      <bottom style="thin">
        <color rgb="FFEFEFEF"/>
      </bottom>
    </border>
    <border>
      <left style="medium">
        <color rgb="FFEFEFEF"/>
      </left>
      <bottom style="medium">
        <color rgb="FFEFEFEF"/>
      </bottom>
    </border>
    <border>
      <right style="thin">
        <color rgb="FFF3F3F3"/>
      </right>
      <bottom style="medium">
        <color rgb="FFEFEFEF"/>
      </bottom>
    </border>
    <border>
      <left style="thin">
        <color rgb="FFF3F3F3"/>
      </left>
      <right style="thin">
        <color rgb="FFF3F3F3"/>
      </right>
      <top style="thin">
        <color rgb="FFEFEFEF"/>
      </top>
      <bottom style="medium">
        <color rgb="FFEFEFEF"/>
      </bottom>
    </border>
    <border>
      <left style="thin">
        <color rgb="FFF3F3F3"/>
      </left>
      <right style="medium">
        <color rgb="FFEFEFEF"/>
      </right>
      <top style="thin">
        <color rgb="FFEFEFEF"/>
      </top>
      <bottom style="medium">
        <color rgb="FFEFEFEF"/>
      </bottom>
    </border>
    <border>
      <bottom style="thin">
        <color rgb="FFEFEFEF"/>
      </bottom>
    </border>
    <border>
      <top style="thin">
        <color rgb="FFEFEFEF"/>
      </top>
      <bottom style="thin">
        <color rgb="FFEFEFEF"/>
      </bottom>
    </border>
    <border>
      <bottom style="medium">
        <color rgb="FFD9D9D9"/>
      </bottom>
    </border>
  </borders>
  <cellStyleXfs count="1">
    <xf borderId="0" fillId="0" fontId="0" numFmtId="0" applyAlignment="1" applyFont="1"/>
  </cellStyleXfs>
  <cellXfs count="244">
    <xf borderId="0" fillId="0" fontId="0" numFmtId="0" xfId="0" applyAlignment="1" applyFont="1">
      <alignment readingOrder="0" shrinkToFit="0" vertical="bottom" wrapText="0"/>
    </xf>
    <xf borderId="0" fillId="0" fontId="1" numFmtId="0" xfId="0" applyAlignment="1" applyFont="1">
      <alignment readingOrder="0" vertical="center"/>
    </xf>
    <xf borderId="0" fillId="0" fontId="2" numFmtId="0" xfId="0" applyFont="1"/>
    <xf borderId="0" fillId="0" fontId="1" numFmtId="0" xfId="0" applyAlignment="1" applyFont="1">
      <alignment vertical="center"/>
    </xf>
    <xf borderId="0" fillId="2" fontId="3" numFmtId="49" xfId="0" applyAlignment="1" applyFill="1" applyFont="1" applyNumberFormat="1">
      <alignment horizontal="left" readingOrder="0" shrinkToFit="0" vertical="center" wrapText="0"/>
    </xf>
    <xf borderId="0" fillId="2" fontId="3" numFmtId="164" xfId="0" applyAlignment="1" applyFill="1" applyFont="1" applyNumberFormat="1">
      <alignment horizontal="left" readingOrder="0" shrinkToFit="0" vertical="center" wrapText="0"/>
    </xf>
    <xf borderId="0" fillId="0" fontId="4" numFmtId="0" xfId="0" applyAlignment="1" applyFont="1">
      <alignment horizontal="center" readingOrder="0"/>
    </xf>
    <xf borderId="0" fillId="2" fontId="3" numFmtId="0" xfId="0" applyAlignment="1" applyFill="1" applyFont="1">
      <alignment horizontal="left" readingOrder="0" shrinkToFit="0" vertical="center" wrapText="0"/>
    </xf>
    <xf borderId="0" fillId="0" fontId="2" numFmtId="165" xfId="0" applyAlignment="1" applyFont="1" applyNumberFormat="1">
      <alignment horizontal="center" readingOrder="0"/>
    </xf>
    <xf borderId="0" fillId="2" fontId="3" numFmtId="166" xfId="0" applyAlignment="1" applyFill="1" applyFont="1" applyNumberFormat="1">
      <alignment horizontal="left" readingOrder="0" shrinkToFit="0" vertical="center" wrapText="0"/>
    </xf>
    <xf borderId="0" fillId="2" fontId="3" numFmtId="0" xfId="0" applyAlignment="1" applyFill="1" applyFont="1">
      <alignment horizontal="center" readingOrder="0" shrinkToFit="0" vertical="center" wrapText="0"/>
    </xf>
    <xf borderId="0" fillId="2" fontId="3" numFmtId="0" xfId="0" applyAlignment="1" applyFill="1" applyFont="1">
      <alignment readingOrder="0" shrinkToFit="0" vertical="center" wrapText="0"/>
    </xf>
    <xf borderId="1" fillId="0" fontId="2" numFmtId="0" xfId="0" applyBorder="1" applyFont="1"/>
    <xf borderId="1" fillId="0" fontId="5" numFmtId="0" xfId="0" applyBorder="1" applyFont="1"/>
    <xf borderId="0" fillId="3" fontId="6" numFmtId="0" xfId="0" applyAlignment="1" applyFill="1" applyFont="1">
      <alignment horizontal="center" readingOrder="0" shrinkToFit="0" textRotation="0" vertical="center" wrapText="0"/>
    </xf>
    <xf borderId="0" fillId="3" fontId="7" numFmtId="0" xfId="0" applyAlignment="1" applyFill="1" applyFont="1">
      <alignment horizontal="center" readingOrder="0" shrinkToFit="0" textRotation="0" vertical="center" wrapText="0"/>
    </xf>
    <xf borderId="0" fillId="2" fontId="8" numFmtId="0" xfId="0" applyAlignment="1" applyFill="1" applyFont="1">
      <alignment horizontal="center" readingOrder="0" vertical="center"/>
    </xf>
    <xf borderId="0" fillId="2" fontId="8" numFmtId="49" xfId="0" applyAlignment="1" applyFill="1" applyFont="1" applyNumberFormat="1">
      <alignment horizontal="center" readingOrder="0" vertical="center"/>
    </xf>
    <xf borderId="0" fillId="2" fontId="8" numFmtId="164" xfId="0" applyAlignment="1" applyFill="1" applyFont="1" applyNumberFormat="1">
      <alignment horizontal="center" readingOrder="0" vertical="center"/>
    </xf>
    <xf borderId="0" fillId="2" fontId="8" numFmtId="166" xfId="0" applyAlignment="1" applyFill="1" applyFont="1" applyNumberFormat="1">
      <alignment horizontal="center" readingOrder="0" vertical="center"/>
    </xf>
    <xf borderId="0" fillId="0" fontId="9" numFmtId="167" xfId="0" applyAlignment="1" applyFont="1" applyNumberFormat="1">
      <alignment horizontal="center" readingOrder="0"/>
    </xf>
    <xf borderId="2" fillId="0" fontId="10" numFmtId="0" xfId="0" applyAlignment="1" applyBorder="1" applyFont="1">
      <alignment horizontal="right" readingOrder="0" vertical="center"/>
    </xf>
    <xf borderId="2" fillId="0" fontId="10" numFmtId="49" xfId="0" applyAlignment="1" applyBorder="1" applyFont="1" applyNumberFormat="1">
      <alignment horizontal="left" readingOrder="0" vertical="center"/>
    </xf>
    <xf borderId="2" fillId="0" fontId="11" numFmtId="0" xfId="0" applyAlignment="1" applyBorder="1" applyFont="1">
      <alignment horizontal="right" readingOrder="0" vertical="center"/>
    </xf>
    <xf borderId="2" fillId="0" fontId="11" numFmtId="49" xfId="0" applyAlignment="1" applyBorder="1" applyFont="1" applyNumberFormat="1">
      <alignment horizontal="left" readingOrder="0" vertical="center"/>
    </xf>
    <xf borderId="2" fillId="0" fontId="10" numFmtId="164" xfId="0" applyAlignment="1" applyBorder="1" applyFont="1" applyNumberFormat="1">
      <alignment horizontal="left" readingOrder="0" vertical="center"/>
    </xf>
    <xf borderId="2" fillId="0" fontId="11" numFmtId="166" xfId="0" applyAlignment="1" applyBorder="1" applyFont="1" applyNumberFormat="1">
      <alignment horizontal="left" readingOrder="0" vertical="center"/>
    </xf>
    <xf borderId="2" fillId="0" fontId="11" numFmtId="166" xfId="0" applyAlignment="1" applyBorder="1" applyFont="1" applyNumberFormat="1">
      <alignment readingOrder="0" vertical="center"/>
    </xf>
    <xf borderId="2" fillId="2" fontId="12" numFmtId="168" xfId="0" applyAlignment="1" applyBorder="1" applyFill="1" applyFont="1" applyNumberFormat="1">
      <alignment horizontal="right" readingOrder="0" shrinkToFit="0" vertical="center" wrapText="0"/>
    </xf>
    <xf borderId="3" fillId="4" fontId="13" numFmtId="0" xfId="0" applyAlignment="1" applyBorder="1" applyFill="1" applyFont="1">
      <alignment readingOrder="0" shrinkToFit="0" vertical="center" wrapText="1"/>
    </xf>
    <xf borderId="3" fillId="0" fontId="5" numFmtId="0" xfId="0" applyBorder="1" applyFont="1"/>
    <xf borderId="0" fillId="0" fontId="14" numFmtId="49" xfId="0" applyAlignment="1" applyFont="1" applyNumberFormat="1">
      <alignment horizontal="left" readingOrder="0" shrinkToFit="0" vertical="center" wrapText="0"/>
    </xf>
    <xf borderId="0" fillId="0" fontId="14" numFmtId="164" xfId="0" applyAlignment="1" applyFont="1" applyNumberFormat="1">
      <alignment horizontal="left" readingOrder="0" shrinkToFit="0" vertical="center" wrapText="0"/>
    </xf>
    <xf borderId="2" fillId="0" fontId="5" numFmtId="0" xfId="0" applyBorder="1" applyFont="1"/>
    <xf borderId="0" fillId="0" fontId="14" numFmtId="0" xfId="0" applyAlignment="1" applyFont="1">
      <alignment horizontal="left" readingOrder="0" shrinkToFit="0" vertical="center" wrapText="0"/>
    </xf>
    <xf borderId="0" fillId="0" fontId="14" numFmtId="0" xfId="0" applyAlignment="1" applyFont="1">
      <alignment horizontal="center" readingOrder="0" shrinkToFit="0" vertical="center" wrapText="0"/>
    </xf>
    <xf borderId="0" fillId="0" fontId="15" numFmtId="0" xfId="0" applyAlignment="1" applyFont="1">
      <alignment horizontal="left" shrinkToFit="0" vertical="center" wrapText="0"/>
    </xf>
    <xf borderId="0" fillId="0" fontId="14" numFmtId="166" xfId="0" applyAlignment="1" applyFont="1" applyNumberFormat="1">
      <alignment horizontal="left" readingOrder="0" shrinkToFit="0" vertical="center" wrapText="0"/>
    </xf>
    <xf borderId="4" fillId="5" fontId="16" numFmtId="0" xfId="0" applyAlignment="1" applyBorder="1" applyFill="1" applyFont="1">
      <alignment horizontal="left" readingOrder="0" shrinkToFit="0" vertical="center" wrapText="1"/>
    </xf>
    <xf borderId="3" fillId="0" fontId="2" numFmtId="0" xfId="0" applyBorder="1" applyFont="1"/>
    <xf borderId="0" fillId="0" fontId="15" numFmtId="0" xfId="0" applyAlignment="1" applyFont="1">
      <alignment shrinkToFit="0" vertical="center" wrapText="0"/>
    </xf>
    <xf borderId="4" fillId="5" fontId="17" numFmtId="49" xfId="0" applyAlignment="1" applyBorder="1" applyFill="1" applyFont="1" applyNumberFormat="1">
      <alignment horizontal="left" readingOrder="0" shrinkToFit="0" vertical="center" wrapText="1"/>
    </xf>
    <xf borderId="5" fillId="5" fontId="17" numFmtId="164" xfId="0" applyAlignment="1" applyBorder="1" applyFill="1" applyFont="1" applyNumberFormat="1">
      <alignment horizontal="left" readingOrder="0" shrinkToFit="0" vertical="center" wrapText="1"/>
    </xf>
    <xf borderId="4" fillId="5" fontId="16" numFmtId="0" xfId="0" applyAlignment="1" applyBorder="1" applyFill="1" applyFont="1">
      <alignment horizontal="center" readingOrder="0" shrinkToFit="0" vertical="center" wrapText="1"/>
    </xf>
    <xf borderId="5" fillId="5" fontId="17" numFmtId="0" xfId="0" applyAlignment="1" applyBorder="1" applyFill="1" applyFont="1">
      <alignment horizontal="left" readingOrder="0" shrinkToFit="0" vertical="center" wrapText="1"/>
    </xf>
    <xf borderId="5" fillId="5" fontId="18" numFmtId="0" xfId="0" applyAlignment="1" applyBorder="1" applyFill="1" applyFont="1">
      <alignment horizontal="left" readingOrder="0" shrinkToFit="0" vertical="center" wrapText="1"/>
    </xf>
    <xf borderId="5" fillId="5" fontId="17" numFmtId="0" xfId="0" applyAlignment="1" applyBorder="1" applyFill="1" applyFont="1">
      <alignment horizontal="left" readingOrder="0" shrinkToFit="0" vertical="center" wrapText="1"/>
    </xf>
    <xf borderId="0" fillId="0" fontId="15" numFmtId="0" xfId="0" applyAlignment="1" applyFont="1">
      <alignment horizontal="left" readingOrder="0" shrinkToFit="0" vertical="center" wrapText="0"/>
    </xf>
    <xf borderId="3" fillId="0" fontId="19" numFmtId="0" xfId="0" applyAlignment="1" applyBorder="1" applyFont="1">
      <alignment readingOrder="0"/>
    </xf>
    <xf borderId="0" fillId="3" fontId="20" numFmtId="0" xfId="0" applyAlignment="1" applyFill="1" applyFont="1">
      <alignment horizontal="center" readingOrder="0" vertical="center"/>
    </xf>
    <xf borderId="5" fillId="5" fontId="17" numFmtId="166" xfId="0" applyAlignment="1" applyBorder="1" applyFill="1" applyFont="1" applyNumberFormat="1">
      <alignment horizontal="left" readingOrder="0" shrinkToFit="0" vertical="center" wrapText="1"/>
    </xf>
    <xf borderId="0" fillId="3" fontId="17" numFmtId="49" xfId="0" applyAlignment="1" applyFill="1" applyFont="1" applyNumberFormat="1">
      <alignment horizontal="left" readingOrder="0" shrinkToFit="0" vertical="center" wrapText="0"/>
    </xf>
    <xf borderId="5" fillId="5" fontId="17" numFmtId="0" xfId="0" applyAlignment="1" applyBorder="1" applyFill="1" applyFont="1">
      <alignment horizontal="center" readingOrder="0" shrinkToFit="0" vertical="center" wrapText="1"/>
    </xf>
    <xf borderId="0" fillId="3" fontId="17" numFmtId="164" xfId="0" applyAlignment="1" applyFill="1" applyFont="1" applyNumberFormat="1">
      <alignment horizontal="left" readingOrder="0" shrinkToFit="0" vertical="center" wrapText="0"/>
    </xf>
    <xf borderId="0" fillId="3" fontId="17" numFmtId="0" xfId="0" applyAlignment="1" applyFill="1" applyFont="1">
      <alignment horizontal="left" readingOrder="0" shrinkToFit="0" vertical="center" wrapText="0"/>
    </xf>
    <xf borderId="0" fillId="3" fontId="17" numFmtId="10" xfId="0" applyAlignment="1" applyFill="1" applyFont="1" applyNumberFormat="1">
      <alignment horizontal="center" readingOrder="0" shrinkToFit="0" vertical="center" wrapText="1"/>
    </xf>
    <xf borderId="0" fillId="3" fontId="17" numFmtId="0" xfId="0" applyAlignment="1" applyFill="1" applyFont="1">
      <alignment readingOrder="0" shrinkToFit="0" vertical="center" wrapText="0"/>
    </xf>
    <xf borderId="6" fillId="0" fontId="2" numFmtId="0" xfId="0" applyAlignment="1" applyBorder="1" applyFont="1">
      <alignment readingOrder="0" shrinkToFit="0" vertical="center" wrapText="1"/>
    </xf>
    <xf borderId="0" fillId="3" fontId="17" numFmtId="166" xfId="0" applyAlignment="1" applyFill="1" applyFont="1" applyNumberFormat="1">
      <alignment horizontal="left" readingOrder="0" shrinkToFit="0" vertical="center" wrapText="0"/>
    </xf>
    <xf borderId="0" fillId="3" fontId="17" numFmtId="0" xfId="0" applyAlignment="1" applyFill="1" applyFont="1">
      <alignment horizontal="center" readingOrder="0" shrinkToFit="0" vertical="center" wrapText="0"/>
    </xf>
    <xf borderId="6" fillId="0" fontId="5" numFmtId="0" xfId="0" applyBorder="1" applyFont="1"/>
    <xf borderId="0" fillId="0" fontId="21" numFmtId="49" xfId="0" applyAlignment="1" applyFont="1" applyNumberFormat="1">
      <alignment readingOrder="0" vertical="center"/>
    </xf>
    <xf borderId="3" fillId="0" fontId="22" numFmtId="0" xfId="0" applyAlignment="1" applyBorder="1" applyFont="1">
      <alignment readingOrder="0"/>
    </xf>
    <xf borderId="7" fillId="0" fontId="23" numFmtId="0" xfId="0" applyAlignment="1" applyBorder="1" applyFont="1">
      <alignment readingOrder="0" vertical="center"/>
    </xf>
    <xf borderId="7" fillId="0" fontId="24" numFmtId="49" xfId="0" applyAlignment="1" applyBorder="1" applyFont="1" applyNumberFormat="1">
      <alignment horizontal="left" readingOrder="0" shrinkToFit="0" vertical="center" wrapText="1"/>
    </xf>
    <xf borderId="7" fillId="0" fontId="24" numFmtId="169" xfId="0" applyAlignment="1" applyBorder="1" applyFont="1" applyNumberFormat="1">
      <alignment horizontal="left" readingOrder="0" shrinkToFit="0" vertical="center" wrapText="1"/>
    </xf>
    <xf borderId="7" fillId="0" fontId="24" numFmtId="166" xfId="0" applyAlignment="1" applyBorder="1" applyFont="1" applyNumberFormat="1">
      <alignment horizontal="left" readingOrder="0" shrinkToFit="0" vertical="center" wrapText="1"/>
    </xf>
    <xf borderId="7" fillId="0" fontId="24" numFmtId="0" xfId="0" applyAlignment="1" applyBorder="1" applyFont="1">
      <alignment horizontal="left" readingOrder="0" shrinkToFit="0" vertical="center" wrapText="1"/>
    </xf>
    <xf borderId="3" fillId="0" fontId="25" numFmtId="0" xfId="0" applyAlignment="1" applyBorder="1" applyFont="1">
      <alignment readingOrder="0" shrinkToFit="0" wrapText="1"/>
    </xf>
    <xf borderId="7" fillId="0" fontId="24" numFmtId="167" xfId="0" applyAlignment="1" applyBorder="1" applyFont="1" applyNumberFormat="1">
      <alignment horizontal="center" readingOrder="0" shrinkToFit="0" vertical="center" wrapText="1"/>
    </xf>
    <xf borderId="7" fillId="0" fontId="24" numFmtId="0" xfId="0" applyAlignment="1" applyBorder="1" applyFont="1">
      <alignment readingOrder="0" shrinkToFit="0" vertical="center" wrapText="1"/>
    </xf>
    <xf borderId="0" fillId="0" fontId="21" numFmtId="0" xfId="0" applyAlignment="1" applyFont="1">
      <alignment vertical="center"/>
    </xf>
    <xf borderId="3" fillId="0" fontId="24" numFmtId="0" xfId="0" applyAlignment="1" applyBorder="1" applyFont="1">
      <alignment readingOrder="0" shrinkToFit="0" wrapText="1"/>
    </xf>
    <xf borderId="3" fillId="0" fontId="26" numFmtId="0" xfId="0" applyAlignment="1" applyBorder="1" applyFont="1">
      <alignment readingOrder="0"/>
    </xf>
    <xf borderId="0" fillId="0" fontId="27" numFmtId="0" xfId="0" applyFont="1"/>
    <xf borderId="3" fillId="0" fontId="28" numFmtId="0" xfId="0" applyAlignment="1" applyBorder="1" applyFont="1">
      <alignment readingOrder="0" shrinkToFit="0" vertical="bottom" wrapText="1"/>
    </xf>
    <xf borderId="1" fillId="0" fontId="28" numFmtId="0" xfId="0" applyAlignment="1" applyBorder="1" applyFont="1">
      <alignment readingOrder="0" shrinkToFit="0" vertical="bottom" wrapText="1"/>
    </xf>
    <xf borderId="0" fillId="0" fontId="27" numFmtId="0" xfId="0" applyAlignment="1" applyFont="1">
      <alignment vertical="bottom"/>
    </xf>
    <xf borderId="1" fillId="0" fontId="29" numFmtId="0" xfId="0" applyAlignment="1" applyBorder="1" applyFont="1">
      <alignment readingOrder="0" shrinkToFit="0" vertical="bottom" wrapText="1"/>
    </xf>
    <xf borderId="1" fillId="0" fontId="27" numFmtId="0" xfId="0" applyAlignment="1" applyBorder="1" applyFont="1">
      <alignment vertical="bottom"/>
    </xf>
    <xf borderId="1" fillId="6" fontId="30" numFmtId="0" xfId="0" applyAlignment="1" applyBorder="1" applyFill="1" applyFont="1">
      <alignment shrinkToFit="0" vertical="bottom" wrapText="1"/>
    </xf>
    <xf borderId="1" fillId="0" fontId="2" numFmtId="0" xfId="0" applyAlignment="1" applyBorder="1" applyFont="1">
      <alignment readingOrder="0" shrinkToFit="0" wrapText="1"/>
    </xf>
    <xf borderId="3" fillId="0" fontId="2" numFmtId="0" xfId="0" applyAlignment="1" applyBorder="1" applyFont="1">
      <alignment readingOrder="0"/>
    </xf>
    <xf borderId="3" fillId="0" fontId="31" numFmtId="0" xfId="0" applyAlignment="1" applyBorder="1" applyFont="1">
      <alignment readingOrder="0"/>
    </xf>
    <xf borderId="3" fillId="7" fontId="31" numFmtId="0" xfId="0" applyAlignment="1" applyBorder="1" applyFill="1" applyFont="1">
      <alignment readingOrder="0"/>
    </xf>
    <xf borderId="0" fillId="0" fontId="23" numFmtId="0" xfId="0" applyAlignment="1" applyFont="1">
      <alignment vertical="center"/>
    </xf>
    <xf borderId="0" fillId="3" fontId="32" numFmtId="0" xfId="0" applyAlignment="1" applyFill="1" applyFont="1">
      <alignment readingOrder="0" vertical="center"/>
    </xf>
    <xf borderId="0" fillId="0" fontId="2" numFmtId="0" xfId="0" applyAlignment="1" applyFont="1">
      <alignment horizontal="left" vertical="center"/>
    </xf>
    <xf borderId="0" fillId="0" fontId="2" numFmtId="167" xfId="0" applyAlignment="1" applyFont="1" applyNumberFormat="1">
      <alignment horizontal="left" vertical="center"/>
    </xf>
    <xf borderId="0" fillId="0" fontId="33" numFmtId="0" xfId="0" applyAlignment="1" applyFont="1">
      <alignment horizontal="left" vertical="center"/>
    </xf>
    <xf borderId="8" fillId="8" fontId="34" numFmtId="0" xfId="0" applyAlignment="1" applyBorder="1" applyFill="1" applyFont="1">
      <alignment horizontal="left" readingOrder="0" vertical="center"/>
    </xf>
    <xf borderId="9" fillId="8" fontId="34" numFmtId="167" xfId="0" applyAlignment="1" applyBorder="1" applyFill="1" applyFont="1" applyNumberFormat="1">
      <alignment horizontal="left" readingOrder="0" vertical="center"/>
    </xf>
    <xf borderId="10" fillId="8" fontId="34" numFmtId="167" xfId="0" applyAlignment="1" applyBorder="1" applyFill="1" applyFont="1" applyNumberFormat="1">
      <alignment horizontal="left" readingOrder="0" vertical="center"/>
    </xf>
    <xf borderId="0" fillId="0" fontId="35" numFmtId="0" xfId="0" applyAlignment="1" applyFont="1">
      <alignment horizontal="left" vertical="center"/>
    </xf>
    <xf borderId="11" fillId="9" fontId="36" numFmtId="0" xfId="0" applyAlignment="1" applyBorder="1" applyFill="1" applyFont="1">
      <alignment horizontal="left" readingOrder="0" vertical="center"/>
    </xf>
    <xf borderId="12" fillId="0" fontId="5" numFmtId="0" xfId="0" applyBorder="1" applyFont="1"/>
    <xf borderId="13" fillId="0" fontId="5" numFmtId="0" xfId="0" applyBorder="1" applyFont="1"/>
    <xf borderId="0" fillId="0" fontId="37" numFmtId="0" xfId="0" applyAlignment="1" applyFont="1">
      <alignment horizontal="left" vertical="center"/>
    </xf>
    <xf borderId="14" fillId="10" fontId="37" numFmtId="0" xfId="0" applyAlignment="1" applyBorder="1" applyFill="1" applyFont="1">
      <alignment horizontal="left" readingOrder="0" vertical="center"/>
    </xf>
    <xf borderId="14" fillId="10" fontId="37" numFmtId="167" xfId="0" applyAlignment="1" applyBorder="1" applyFill="1" applyFont="1" applyNumberFormat="1">
      <alignment horizontal="left" vertical="center"/>
    </xf>
    <xf borderId="11" fillId="11" fontId="38" numFmtId="0" xfId="0" applyAlignment="1" applyBorder="1" applyFill="1" applyFont="1">
      <alignment horizontal="left" readingOrder="0" vertical="center"/>
    </xf>
    <xf borderId="14" fillId="0" fontId="2" numFmtId="0" xfId="0" applyAlignment="1" applyBorder="1" applyFont="1">
      <alignment horizontal="left" readingOrder="0" vertical="center"/>
    </xf>
    <xf borderId="14" fillId="0" fontId="2" numFmtId="167" xfId="0" applyAlignment="1" applyBorder="1" applyFont="1" applyNumberFormat="1">
      <alignment horizontal="left" readingOrder="0" vertical="center"/>
    </xf>
    <xf borderId="0" fillId="3" fontId="39" numFmtId="0" xfId="0" applyAlignment="1" applyFill="1" applyFont="1">
      <alignment horizontal="left" readingOrder="0" vertical="center"/>
    </xf>
    <xf borderId="5" fillId="3" fontId="40" numFmtId="0" xfId="0" applyAlignment="1" applyBorder="1" applyFill="1" applyFont="1">
      <alignment horizontal="left" readingOrder="0" vertical="center"/>
    </xf>
    <xf borderId="0" fillId="3" fontId="37" numFmtId="0" xfId="0" applyAlignment="1" applyFill="1" applyFont="1">
      <alignment horizontal="left" readingOrder="0" vertical="center"/>
    </xf>
    <xf borderId="0" fillId="3" fontId="41" numFmtId="0" xfId="0" applyAlignment="1" applyFill="1" applyFont="1">
      <alignment horizontal="left" readingOrder="0" vertical="center"/>
    </xf>
    <xf borderId="0" fillId="3" fontId="37" numFmtId="0" xfId="0" applyAlignment="1" applyFill="1" applyFont="1">
      <alignment horizontal="left" readingOrder="0" shrinkToFit="0" vertical="center" wrapText="1"/>
    </xf>
    <xf borderId="0" fillId="0" fontId="42" numFmtId="0" xfId="0" applyAlignment="1" applyFont="1">
      <alignment horizontal="center" readingOrder="0"/>
    </xf>
    <xf borderId="0" fillId="0" fontId="2" numFmtId="0" xfId="0" applyAlignment="1" applyFont="1">
      <alignment readingOrder="0"/>
    </xf>
    <xf borderId="0" fillId="0" fontId="43" numFmtId="14" xfId="0" applyAlignment="1" applyFont="1" applyNumberFormat="1">
      <alignment horizontal="center" readingOrder="0"/>
    </xf>
    <xf borderId="15" fillId="12" fontId="44" numFmtId="0" xfId="0" applyAlignment="1" applyBorder="1" applyFill="1" applyFont="1">
      <alignment horizontal="center" vertical="center"/>
    </xf>
    <xf borderId="15" fillId="12" fontId="45" numFmtId="0" xfId="0" applyAlignment="1" applyBorder="1" applyFill="1" applyFont="1">
      <alignment horizontal="center" readingOrder="0" vertical="center"/>
    </xf>
    <xf borderId="15" fillId="0" fontId="5" numFmtId="0" xfId="0" applyBorder="1" applyFont="1"/>
    <xf borderId="15" fillId="12" fontId="22" numFmtId="0" xfId="0" applyAlignment="1" applyBorder="1" applyFill="1" applyFont="1">
      <alignment horizontal="right" readingOrder="0" vertical="center"/>
    </xf>
    <xf borderId="0" fillId="0" fontId="2" numFmtId="0" xfId="0" applyAlignment="1" applyFont="1">
      <alignment vertical="center"/>
    </xf>
    <xf borderId="0" fillId="0" fontId="46" numFmtId="0" xfId="0" applyAlignment="1" applyFont="1">
      <alignment horizontal="center" vertical="center"/>
    </xf>
    <xf borderId="16" fillId="13" fontId="47" numFmtId="0" xfId="0" applyAlignment="1" applyBorder="1" applyFill="1" applyFont="1">
      <alignment horizontal="center" readingOrder="0" vertical="center"/>
    </xf>
    <xf borderId="17" fillId="0" fontId="5" numFmtId="0" xfId="0" applyBorder="1" applyFont="1"/>
    <xf borderId="18" fillId="0" fontId="45" numFmtId="0" xfId="0" applyAlignment="1" applyBorder="1" applyFont="1">
      <alignment horizontal="center" vertical="center"/>
    </xf>
    <xf borderId="19" fillId="0" fontId="5" numFmtId="0" xfId="0" applyBorder="1" applyFont="1"/>
    <xf borderId="0" fillId="0" fontId="48" numFmtId="0" xfId="0" applyFont="1"/>
    <xf borderId="18" fillId="0" fontId="45" numFmtId="167" xfId="0" applyAlignment="1" applyBorder="1" applyFont="1" applyNumberFormat="1">
      <alignment horizontal="center" vertical="center"/>
    </xf>
    <xf borderId="20" fillId="0" fontId="5" numFmtId="0" xfId="0" applyBorder="1" applyFont="1"/>
    <xf borderId="21" fillId="0" fontId="5" numFmtId="0" xfId="0" applyBorder="1" applyFont="1"/>
    <xf borderId="0" fillId="0" fontId="44" numFmtId="0" xfId="0" applyAlignment="1" applyFont="1">
      <alignment horizontal="center" vertical="center"/>
    </xf>
    <xf borderId="22" fillId="12" fontId="27" numFmtId="0" xfId="0" applyBorder="1" applyFill="1" applyFont="1"/>
    <xf borderId="22" fillId="12" fontId="27" numFmtId="0" xfId="0" applyAlignment="1" applyBorder="1" applyFill="1" applyFont="1">
      <alignment vertical="bottom"/>
    </xf>
    <xf borderId="22" fillId="12" fontId="49" numFmtId="0" xfId="0" applyAlignment="1" applyBorder="1" applyFill="1" applyFont="1">
      <alignment horizontal="center" vertical="center"/>
    </xf>
    <xf borderId="22" fillId="0" fontId="5" numFmtId="0" xfId="0" applyBorder="1" applyFont="1"/>
    <xf borderId="22" fillId="12" fontId="50" numFmtId="0" xfId="0" applyAlignment="1" applyBorder="1" applyFill="1" applyFont="1">
      <alignment vertical="top"/>
    </xf>
    <xf borderId="22" fillId="12" fontId="50" numFmtId="0" xfId="0" applyAlignment="1" applyBorder="1" applyFill="1" applyFont="1">
      <alignment horizontal="right" vertical="top"/>
    </xf>
    <xf borderId="23" fillId="12" fontId="27" numFmtId="0" xfId="0" applyBorder="1" applyFill="1" applyFont="1"/>
    <xf borderId="23" fillId="0" fontId="5" numFmtId="0" xfId="0" applyBorder="1" applyFont="1"/>
    <xf borderId="23" fillId="12" fontId="27" numFmtId="14" xfId="0" applyBorder="1" applyFill="1" applyFont="1" applyNumberFormat="1"/>
    <xf borderId="23" fillId="12" fontId="51" numFmtId="170" xfId="0" applyAlignment="1" applyBorder="1" applyFill="1" applyFont="1" applyNumberFormat="1">
      <alignment horizontal="left" readingOrder="0" vertical="bottom"/>
    </xf>
    <xf borderId="23" fillId="12" fontId="51" numFmtId="170" xfId="0" applyAlignment="1" applyBorder="1" applyFill="1" applyFont="1" applyNumberFormat="1">
      <alignment horizontal="right" readingOrder="0" vertical="bottom"/>
    </xf>
    <xf borderId="0" fillId="0" fontId="52" numFmtId="0" xfId="0" applyFont="1"/>
    <xf borderId="0" fillId="0" fontId="47" numFmtId="0" xfId="0" applyAlignment="1" applyFont="1">
      <alignment horizontal="left" readingOrder="0" vertical="center"/>
    </xf>
    <xf borderId="0" fillId="0" fontId="47" numFmtId="0" xfId="0" applyAlignment="1" applyFont="1">
      <alignment horizontal="center" vertical="center"/>
    </xf>
    <xf borderId="24" fillId="12" fontId="14" numFmtId="0" xfId="0" applyAlignment="1" applyBorder="1" applyFill="1" applyFont="1">
      <alignment horizontal="left" readingOrder="0" vertical="center"/>
    </xf>
    <xf borderId="25" fillId="0" fontId="5" numFmtId="0" xfId="0" applyBorder="1" applyFont="1"/>
    <xf borderId="26" fillId="12" fontId="14" numFmtId="0" xfId="0" applyAlignment="1" applyBorder="1" applyFill="1" applyFont="1">
      <alignment horizontal="center" readingOrder="0" vertical="center"/>
    </xf>
    <xf borderId="26" fillId="12" fontId="14" numFmtId="0" xfId="0" applyAlignment="1" applyBorder="1" applyFill="1" applyFont="1">
      <alignment horizontal="left" readingOrder="0" vertical="center"/>
    </xf>
    <xf borderId="27" fillId="12" fontId="14" numFmtId="0" xfId="0" applyAlignment="1" applyBorder="1" applyFill="1" applyFont="1">
      <alignment horizontal="left" readingOrder="0" vertical="center"/>
    </xf>
    <xf borderId="0" fillId="0" fontId="14" numFmtId="0" xfId="0" applyAlignment="1" applyFont="1">
      <alignment horizontal="left" vertical="center"/>
    </xf>
    <xf borderId="28" fillId="0" fontId="53" numFmtId="0" xfId="0" applyAlignment="1" applyBorder="1" applyFont="1">
      <alignment horizontal="left" readingOrder="0" vertical="center"/>
    </xf>
    <xf borderId="29" fillId="0" fontId="5" numFmtId="0" xfId="0" applyBorder="1" applyFont="1"/>
    <xf borderId="30" fillId="0" fontId="53" numFmtId="0" xfId="0" applyAlignment="1" applyBorder="1" applyFont="1">
      <alignment horizontal="center" readingOrder="0" vertical="center"/>
    </xf>
    <xf borderId="30" fillId="0" fontId="53" numFmtId="167" xfId="0" applyAlignment="1" applyBorder="1" applyFont="1" applyNumberFormat="1">
      <alignment horizontal="left" vertical="center"/>
    </xf>
    <xf borderId="31" fillId="0" fontId="53" numFmtId="167" xfId="0" applyAlignment="1" applyBorder="1" applyFont="1" applyNumberFormat="1">
      <alignment horizontal="left" vertical="center"/>
    </xf>
    <xf borderId="0" fillId="0" fontId="53" numFmtId="0" xfId="0" applyAlignment="1" applyFont="1">
      <alignment horizontal="center" vertical="center"/>
    </xf>
    <xf borderId="32" fillId="0" fontId="53" numFmtId="0" xfId="0" applyAlignment="1" applyBorder="1" applyFont="1">
      <alignment horizontal="left" readingOrder="0" vertical="center"/>
    </xf>
    <xf borderId="33" fillId="0" fontId="5" numFmtId="0" xfId="0" applyBorder="1" applyFont="1"/>
    <xf borderId="0" fillId="0" fontId="54" numFmtId="0" xfId="0" applyAlignment="1" applyFont="1">
      <alignment readingOrder="0"/>
    </xf>
    <xf borderId="34" fillId="0" fontId="53" numFmtId="0" xfId="0" applyAlignment="1" applyBorder="1" applyFont="1">
      <alignment horizontal="center" readingOrder="0" vertical="center"/>
    </xf>
    <xf borderId="35" fillId="0" fontId="53" numFmtId="167" xfId="0" applyAlignment="1" applyBorder="1" applyFont="1" applyNumberFormat="1">
      <alignment horizontal="left" vertical="center"/>
    </xf>
    <xf borderId="0" fillId="0" fontId="21" numFmtId="0" xfId="0" applyFont="1"/>
    <xf borderId="0" fillId="2" fontId="55" numFmtId="0" xfId="0" applyAlignment="1" applyFill="1" applyFont="1">
      <alignment readingOrder="0"/>
    </xf>
    <xf borderId="36" fillId="0" fontId="53" numFmtId="0" xfId="0" applyAlignment="1" applyBorder="1" applyFont="1">
      <alignment horizontal="left" readingOrder="0" vertical="center"/>
    </xf>
    <xf borderId="37" fillId="0" fontId="5" numFmtId="0" xfId="0" applyBorder="1" applyFont="1"/>
    <xf borderId="38" fillId="0" fontId="53" numFmtId="0" xfId="0" applyAlignment="1" applyBorder="1" applyFont="1">
      <alignment horizontal="center" readingOrder="0" vertical="center"/>
    </xf>
    <xf borderId="39" fillId="0" fontId="53" numFmtId="167" xfId="0" applyAlignment="1" applyBorder="1" applyFont="1" applyNumberFormat="1">
      <alignment horizontal="left" vertical="center"/>
    </xf>
    <xf borderId="0" fillId="0" fontId="56" numFmtId="0" xfId="0" applyAlignment="1" applyFont="1">
      <alignment horizontal="left" readingOrder="0" vertical="center"/>
    </xf>
    <xf borderId="0" fillId="0" fontId="27" numFmtId="49" xfId="0" applyFont="1" applyNumberFormat="1"/>
    <xf borderId="7" fillId="0" fontId="23" numFmtId="0" xfId="0" applyAlignment="1" applyBorder="1" applyFont="1">
      <alignment horizontal="center"/>
    </xf>
    <xf borderId="7" fillId="0" fontId="2" numFmtId="49" xfId="0" applyAlignment="1" applyBorder="1" applyFont="1" applyNumberFormat="1">
      <alignment shrinkToFit="0" wrapText="1"/>
    </xf>
    <xf borderId="7" fillId="0" fontId="2" numFmtId="0" xfId="0" applyAlignment="1" applyBorder="1" applyFont="1">
      <alignment shrinkToFit="0" wrapText="1"/>
    </xf>
    <xf borderId="0" fillId="0" fontId="2" numFmtId="167" xfId="0" applyAlignment="1" applyFont="1" applyNumberFormat="1">
      <alignment horizontal="left"/>
    </xf>
    <xf borderId="7" fillId="0" fontId="2" numFmtId="167" xfId="0" applyAlignment="1" applyBorder="1" applyFont="1" applyNumberFormat="1">
      <alignment horizontal="center" shrinkToFit="0" wrapText="1"/>
    </xf>
    <xf borderId="7" fillId="0" fontId="27" numFmtId="0" xfId="0" applyBorder="1" applyFont="1"/>
    <xf borderId="0" fillId="0" fontId="57" numFmtId="0" xfId="0" applyAlignment="1" applyFont="1">
      <alignment vertical="center"/>
    </xf>
    <xf borderId="7" fillId="14" fontId="57" numFmtId="0" xfId="0" applyAlignment="1" applyBorder="1" applyFill="1" applyFont="1">
      <alignment readingOrder="0" vertical="center"/>
    </xf>
    <xf borderId="7" fillId="14" fontId="57" numFmtId="167" xfId="0" applyAlignment="1" applyBorder="1" applyFill="1" applyFont="1" applyNumberFormat="1">
      <alignment horizontal="left" readingOrder="0" vertical="center"/>
    </xf>
    <xf borderId="40" fillId="0" fontId="2" numFmtId="0" xfId="0" applyAlignment="1" applyBorder="1" applyFont="1">
      <alignment readingOrder="0"/>
    </xf>
    <xf borderId="40" fillId="0" fontId="2" numFmtId="0" xfId="0" applyAlignment="1" applyBorder="1" applyFont="1">
      <alignment vertical="bottom"/>
    </xf>
    <xf borderId="40" fillId="0" fontId="2" numFmtId="167" xfId="0" applyAlignment="1" applyBorder="1" applyFont="1" applyNumberFormat="1">
      <alignment vertical="bottom"/>
    </xf>
    <xf borderId="41" fillId="0" fontId="2" numFmtId="0" xfId="0" applyAlignment="1" applyBorder="1" applyFont="1">
      <alignment readingOrder="0"/>
    </xf>
    <xf borderId="41" fillId="0" fontId="2" numFmtId="0" xfId="0" applyBorder="1" applyFont="1"/>
    <xf borderId="40" fillId="0" fontId="2" numFmtId="0" xfId="0" applyAlignment="1" applyBorder="1" applyFont="1">
      <alignment readingOrder="0" vertical="bottom"/>
    </xf>
    <xf borderId="40" fillId="0" fontId="2" numFmtId="167" xfId="0" applyAlignment="1" applyBorder="1" applyFont="1" applyNumberFormat="1">
      <alignment readingOrder="0" vertical="bottom"/>
    </xf>
    <xf borderId="40" fillId="0" fontId="2" numFmtId="167" xfId="0" applyAlignment="1" applyBorder="1" applyFont="1" applyNumberFormat="1">
      <alignment horizontal="right" vertical="bottom"/>
    </xf>
    <xf borderId="40" fillId="0" fontId="2" numFmtId="167" xfId="0" applyAlignment="1" applyBorder="1" applyFont="1" applyNumberFormat="1">
      <alignment horizontal="left" readingOrder="0"/>
    </xf>
    <xf borderId="41" fillId="0" fontId="2" numFmtId="167" xfId="0" applyAlignment="1" applyBorder="1" applyFont="1" applyNumberFormat="1">
      <alignment horizontal="left"/>
    </xf>
    <xf borderId="11" fillId="6" fontId="58" numFmtId="0" xfId="0" applyAlignment="1" applyBorder="1" applyFill="1" applyFont="1">
      <alignment horizontal="left" readingOrder="0" vertical="center"/>
    </xf>
    <xf borderId="7" fillId="0" fontId="24" numFmtId="164" xfId="0" applyAlignment="1" applyBorder="1" applyFont="1" applyNumberFormat="1">
      <alignment horizontal="left" readingOrder="0" shrinkToFit="0" vertical="center" wrapText="1"/>
    </xf>
    <xf borderId="7" fillId="0" fontId="24" numFmtId="171" xfId="0" applyAlignment="1" applyBorder="1" applyFont="1" applyNumberFormat="1">
      <alignment horizontal="left" readingOrder="0" shrinkToFit="0" vertical="center" wrapText="1"/>
    </xf>
    <xf borderId="42" fillId="0" fontId="1" numFmtId="0" xfId="0" applyAlignment="1" applyBorder="1" applyFont="1">
      <alignment vertical="center"/>
    </xf>
    <xf borderId="0" fillId="0" fontId="1" numFmtId="49" xfId="0" applyAlignment="1" applyFont="1" applyNumberFormat="1">
      <alignment horizontal="left" vertical="center"/>
    </xf>
    <xf borderId="0" fillId="0" fontId="1" numFmtId="166" xfId="0" applyAlignment="1" applyFont="1" applyNumberFormat="1">
      <alignment horizontal="left" vertical="center"/>
    </xf>
    <xf borderId="0" fillId="0" fontId="1" numFmtId="0" xfId="0" applyAlignment="1" applyFont="1">
      <alignment horizontal="left" vertical="center"/>
    </xf>
    <xf borderId="0" fillId="0" fontId="1" numFmtId="0" xfId="0" applyAlignment="1" applyFont="1">
      <alignment horizontal="center" vertical="center"/>
    </xf>
    <xf borderId="14" fillId="10" fontId="37" numFmtId="167" xfId="0" applyAlignment="1" applyBorder="1" applyFill="1" applyFont="1" applyNumberFormat="1">
      <alignment horizontal="left" readingOrder="0" vertical="center"/>
    </xf>
    <xf borderId="0" fillId="0" fontId="34" numFmtId="0" xfId="0" applyAlignment="1" applyFont="1">
      <alignment horizontal="left" vertical="center"/>
    </xf>
    <xf borderId="11" fillId="13" fontId="59" numFmtId="0" xfId="0" applyAlignment="1" applyBorder="1" applyFill="1" applyFont="1">
      <alignment horizontal="left" readingOrder="0" vertical="center"/>
    </xf>
    <xf borderId="14" fillId="0" fontId="57" numFmtId="0" xfId="0" applyAlignment="1" applyBorder="1" applyFont="1">
      <alignment horizontal="left" readingOrder="0" vertical="center"/>
    </xf>
    <xf borderId="0" fillId="0" fontId="34" numFmtId="167" xfId="0" applyAlignment="1" applyFont="1" applyNumberFormat="1">
      <alignment horizontal="left" vertical="center"/>
    </xf>
    <xf borderId="0" fillId="15" fontId="21" numFmtId="49" xfId="0" applyAlignment="1" applyFill="1" applyFont="1" applyNumberFormat="1">
      <alignment readingOrder="0" vertical="center"/>
    </xf>
    <xf borderId="7" fillId="15" fontId="23" numFmtId="0" xfId="0" applyAlignment="1" applyBorder="1" applyFill="1" applyFont="1">
      <alignment readingOrder="0" vertical="center"/>
    </xf>
    <xf borderId="7" fillId="15" fontId="24" numFmtId="49" xfId="0" applyAlignment="1" applyBorder="1" applyFill="1" applyFont="1" applyNumberFormat="1">
      <alignment horizontal="left" readingOrder="0" shrinkToFit="0" vertical="center" wrapText="1"/>
    </xf>
    <xf borderId="7" fillId="15" fontId="24" numFmtId="169" xfId="0" applyAlignment="1" applyBorder="1" applyFill="1" applyFont="1" applyNumberFormat="1">
      <alignment horizontal="left" readingOrder="0" shrinkToFit="0" vertical="center" wrapText="1"/>
    </xf>
    <xf borderId="7" fillId="15" fontId="24" numFmtId="0" xfId="0" applyAlignment="1" applyBorder="1" applyFill="1" applyFont="1">
      <alignment horizontal="left" readingOrder="0" shrinkToFit="0" vertical="center" wrapText="1"/>
    </xf>
    <xf borderId="7" fillId="15" fontId="24" numFmtId="167" xfId="0" applyAlignment="1" applyBorder="1" applyFill="1" applyFont="1" applyNumberFormat="1">
      <alignment horizontal="center" readingOrder="0" shrinkToFit="0" vertical="center" wrapText="1"/>
    </xf>
    <xf borderId="7" fillId="15" fontId="24" numFmtId="0" xfId="0" applyAlignment="1" applyBorder="1" applyFill="1" applyFont="1">
      <alignment readingOrder="0" shrinkToFit="0" vertical="center" wrapText="1"/>
    </xf>
    <xf borderId="0" fillId="15" fontId="21" numFmtId="0" xfId="0" applyAlignment="1" applyFill="1" applyFont="1">
      <alignment vertical="center"/>
    </xf>
    <xf borderId="0" fillId="16" fontId="21" numFmtId="49" xfId="0" applyAlignment="1" applyFill="1" applyFont="1" applyNumberFormat="1">
      <alignment readingOrder="0" vertical="center"/>
    </xf>
    <xf borderId="7" fillId="16" fontId="23" numFmtId="0" xfId="0" applyAlignment="1" applyBorder="1" applyFill="1" applyFont="1">
      <alignment readingOrder="0" vertical="center"/>
    </xf>
    <xf borderId="7" fillId="16" fontId="24" numFmtId="49" xfId="0" applyAlignment="1" applyBorder="1" applyFill="1" applyFont="1" applyNumberFormat="1">
      <alignment horizontal="left" readingOrder="0" shrinkToFit="0" vertical="center" wrapText="1"/>
    </xf>
    <xf borderId="7" fillId="16" fontId="24" numFmtId="169" xfId="0" applyAlignment="1" applyBorder="1" applyFill="1" applyFont="1" applyNumberFormat="1">
      <alignment horizontal="left" readingOrder="0" shrinkToFit="0" vertical="center" wrapText="1"/>
    </xf>
    <xf borderId="7" fillId="16" fontId="24" numFmtId="0" xfId="0" applyAlignment="1" applyBorder="1" applyFill="1" applyFont="1">
      <alignment horizontal="left" readingOrder="0" shrinkToFit="0" vertical="center" wrapText="1"/>
    </xf>
    <xf borderId="7" fillId="16" fontId="24" numFmtId="167" xfId="0" applyAlignment="1" applyBorder="1" applyFill="1" applyFont="1" applyNumberFormat="1">
      <alignment horizontal="center" readingOrder="0" shrinkToFit="0" vertical="center" wrapText="1"/>
    </xf>
    <xf borderId="7" fillId="16" fontId="24" numFmtId="0" xfId="0" applyAlignment="1" applyBorder="1" applyFill="1" applyFont="1">
      <alignment readingOrder="0" shrinkToFit="0" vertical="center" wrapText="1"/>
    </xf>
    <xf borderId="0" fillId="16" fontId="21" numFmtId="0" xfId="0" applyAlignment="1" applyFill="1" applyFont="1">
      <alignment vertical="center"/>
    </xf>
    <xf borderId="7" fillId="0" fontId="24" numFmtId="0" xfId="0" applyAlignment="1" applyBorder="1" applyFont="1">
      <alignment horizontal="center" readingOrder="0" shrinkToFit="0" vertical="center" wrapText="1"/>
    </xf>
    <xf borderId="7" fillId="2" fontId="24" numFmtId="0" xfId="0" applyAlignment="1" applyBorder="1" applyFill="1" applyFont="1">
      <alignment horizontal="left" readingOrder="0" shrinkToFit="0" vertical="center" wrapText="1"/>
    </xf>
    <xf borderId="0" fillId="2" fontId="21" numFmtId="49" xfId="0" applyAlignment="1" applyFill="1" applyFont="1" applyNumberFormat="1">
      <alignment readingOrder="0" vertical="center"/>
    </xf>
    <xf borderId="7" fillId="2" fontId="23" numFmtId="0" xfId="0" applyAlignment="1" applyBorder="1" applyFill="1" applyFont="1">
      <alignment readingOrder="0" vertical="center"/>
    </xf>
    <xf borderId="7" fillId="2" fontId="24" numFmtId="49" xfId="0" applyAlignment="1" applyBorder="1" applyFill="1" applyFont="1" applyNumberFormat="1">
      <alignment horizontal="left" readingOrder="0" shrinkToFit="0" vertical="center" wrapText="1"/>
    </xf>
    <xf borderId="7" fillId="2" fontId="24" numFmtId="169" xfId="0" applyAlignment="1" applyBorder="1" applyFill="1" applyFont="1" applyNumberFormat="1">
      <alignment horizontal="left" readingOrder="0" shrinkToFit="0" vertical="center" wrapText="1"/>
    </xf>
    <xf borderId="7" fillId="2" fontId="24" numFmtId="167" xfId="0" applyAlignment="1" applyBorder="1" applyFill="1" applyFont="1" applyNumberFormat="1">
      <alignment horizontal="center" readingOrder="0" shrinkToFit="0" vertical="center" wrapText="1"/>
    </xf>
    <xf borderId="7" fillId="2" fontId="24" numFmtId="0" xfId="0" applyAlignment="1" applyBorder="1" applyFill="1" applyFont="1">
      <alignment readingOrder="0" shrinkToFit="0" vertical="center" wrapText="1"/>
    </xf>
    <xf borderId="0" fillId="2" fontId="21" numFmtId="0" xfId="0" applyAlignment="1" applyFill="1" applyFont="1">
      <alignment vertical="center"/>
    </xf>
    <xf borderId="0" fillId="17" fontId="21" numFmtId="49" xfId="0" applyAlignment="1" applyFill="1" applyFont="1" applyNumberFormat="1">
      <alignment readingOrder="0" vertical="center"/>
    </xf>
    <xf borderId="7" fillId="17" fontId="23" numFmtId="0" xfId="0" applyAlignment="1" applyBorder="1" applyFill="1" applyFont="1">
      <alignment readingOrder="0" vertical="center"/>
    </xf>
    <xf borderId="7" fillId="17" fontId="24" numFmtId="49" xfId="0" applyAlignment="1" applyBorder="1" applyFill="1" applyFont="1" applyNumberFormat="1">
      <alignment horizontal="left" readingOrder="0" shrinkToFit="0" vertical="center" wrapText="1"/>
    </xf>
    <xf borderId="7" fillId="17" fontId="24" numFmtId="169" xfId="0" applyAlignment="1" applyBorder="1" applyFill="1" applyFont="1" applyNumberFormat="1">
      <alignment horizontal="left" readingOrder="0" shrinkToFit="0" vertical="center" wrapText="1"/>
    </xf>
    <xf borderId="7" fillId="17" fontId="24" numFmtId="0" xfId="0" applyAlignment="1" applyBorder="1" applyFill="1" applyFont="1">
      <alignment horizontal="left" readingOrder="0" shrinkToFit="0" vertical="center" wrapText="1"/>
    </xf>
    <xf borderId="7" fillId="17" fontId="24" numFmtId="167" xfId="0" applyAlignment="1" applyBorder="1" applyFill="1" applyFont="1" applyNumberFormat="1">
      <alignment horizontal="center" readingOrder="0" shrinkToFit="0" vertical="center" wrapText="1"/>
    </xf>
    <xf borderId="7" fillId="17" fontId="24" numFmtId="0" xfId="0" applyAlignment="1" applyBorder="1" applyFill="1" applyFont="1">
      <alignment readingOrder="0" shrinkToFit="0" vertical="center" wrapText="1"/>
    </xf>
    <xf borderId="0" fillId="17" fontId="21" numFmtId="0" xfId="0" applyAlignment="1" applyFill="1" applyFont="1">
      <alignment vertical="center"/>
    </xf>
    <xf borderId="0" fillId="0" fontId="21" numFmtId="0" xfId="0" applyAlignment="1" applyFont="1">
      <alignment readingOrder="0" vertical="center"/>
    </xf>
    <xf borderId="7" fillId="16" fontId="24" numFmtId="172" xfId="0" applyAlignment="1" applyBorder="1" applyFill="1" applyFont="1" applyNumberFormat="1">
      <alignment horizontal="left" readingOrder="0" shrinkToFit="0" vertical="center" wrapText="1"/>
    </xf>
    <xf borderId="7" fillId="0" fontId="24" numFmtId="172" xfId="0" applyAlignment="1" applyBorder="1" applyFont="1" applyNumberFormat="1">
      <alignment horizontal="left" readingOrder="0" shrinkToFit="0" vertical="center" wrapText="1"/>
    </xf>
    <xf borderId="7" fillId="2" fontId="24" numFmtId="172" xfId="0" applyAlignment="1" applyBorder="1" applyFill="1" applyFont="1" applyNumberFormat="1">
      <alignment horizontal="left" readingOrder="0" shrinkToFit="0" vertical="center" wrapText="1"/>
    </xf>
    <xf borderId="0" fillId="18" fontId="21" numFmtId="49" xfId="0" applyAlignment="1" applyFill="1" applyFont="1" applyNumberFormat="1">
      <alignment readingOrder="0" vertical="center"/>
    </xf>
    <xf borderId="7" fillId="18" fontId="23" numFmtId="0" xfId="0" applyAlignment="1" applyBorder="1" applyFill="1" applyFont="1">
      <alignment readingOrder="0" vertical="center"/>
    </xf>
    <xf borderId="7" fillId="18" fontId="24" numFmtId="49" xfId="0" applyAlignment="1" applyBorder="1" applyFill="1" applyFont="1" applyNumberFormat="1">
      <alignment horizontal="left" readingOrder="0" shrinkToFit="0" vertical="center" wrapText="1"/>
    </xf>
    <xf borderId="7" fillId="18" fontId="24" numFmtId="169" xfId="0" applyAlignment="1" applyBorder="1" applyFill="1" applyFont="1" applyNumberFormat="1">
      <alignment horizontal="left" readingOrder="0" shrinkToFit="0" vertical="center" wrapText="1"/>
    </xf>
    <xf borderId="7" fillId="18" fontId="24" numFmtId="0" xfId="0" applyAlignment="1" applyBorder="1" applyFill="1" applyFont="1">
      <alignment horizontal="left" readingOrder="0" shrinkToFit="0" vertical="center" wrapText="1"/>
    </xf>
    <xf borderId="7" fillId="18" fontId="24" numFmtId="167" xfId="0" applyAlignment="1" applyBorder="1" applyFill="1" applyFont="1" applyNumberFormat="1">
      <alignment horizontal="center" readingOrder="0" shrinkToFit="0" vertical="center" wrapText="1"/>
    </xf>
    <xf borderId="7" fillId="18" fontId="24" numFmtId="0" xfId="0" applyAlignment="1" applyBorder="1" applyFill="1" applyFont="1">
      <alignment readingOrder="0" shrinkToFit="0" vertical="center" wrapText="1"/>
    </xf>
    <xf borderId="0" fillId="18" fontId="21" numFmtId="0" xfId="0" applyAlignment="1" applyFill="1" applyFont="1">
      <alignment vertical="center"/>
    </xf>
    <xf borderId="0" fillId="0" fontId="1" numFmtId="169" xfId="0" applyAlignment="1" applyFont="1" applyNumberFormat="1">
      <alignment horizontal="left" vertical="center"/>
    </xf>
    <xf borderId="0" fillId="0" fontId="1" numFmtId="164" xfId="0" applyAlignment="1" applyFont="1" applyNumberFormat="1">
      <alignment horizontal="left" vertical="center"/>
    </xf>
  </cellXfs>
  <cellStyles count="1">
    <cellStyle xfId="0" name="Normal" builtinId="0"/>
  </cellStyles>
  <dxfs count="6">
    <dxf>
      <font>
        <color rgb="FF999999"/>
      </font>
      <fill>
        <patternFill patternType="solid">
          <fgColor rgb="FFEFEFEF"/>
          <bgColor rgb="FFEFEFEF"/>
        </patternFill>
      </fill>
      <border/>
    </dxf>
    <dxf>
      <font/>
      <fill>
        <patternFill patternType="solid">
          <fgColor rgb="FFFF9E9E"/>
          <bgColor rgb="FFFF9E9E"/>
        </patternFill>
      </fill>
      <border/>
    </dxf>
    <dxf>
      <font>
        <color rgb="FFFFFFFF"/>
      </font>
      <fill>
        <patternFill patternType="none"/>
      </fill>
      <border/>
    </dxf>
    <dxf>
      <font>
        <color rgb="FFF7ECDE"/>
      </font>
      <fill>
        <patternFill patternType="none"/>
      </fill>
      <border/>
    </dxf>
    <dxf>
      <font/>
      <fill>
        <patternFill patternType="solid">
          <fgColor rgb="FFB7E1CD"/>
          <bgColor rgb="FFB7E1CD"/>
        </patternFill>
      </fill>
      <border/>
    </dxf>
    <dxf>
      <font>
        <b/>
        <color rgb="FF34A853"/>
      </font>
      <fill>
        <patternFill patternType="solid">
          <fgColor rgb="FFEFEFEF"/>
          <bgColor rgb="FFEFEFEF"/>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600">
                <a:solidFill>
                  <a:srgbClr val="434343"/>
                </a:solidFill>
                <a:latin typeface="Tahoma"/>
              </a:defRPr>
            </a:pPr>
            <a:r>
              <a:rPr b="1" sz="1600">
                <a:solidFill>
                  <a:srgbClr val="434343"/>
                </a:solidFill>
                <a:latin typeface="Tahoma"/>
              </a:rPr>
              <a:t>Total Pendapatan Per Bulan</a:t>
            </a:r>
          </a:p>
        </c:rich>
      </c:tx>
      <c:overlay val="0"/>
    </c:title>
    <c:plotArea>
      <c:layout/>
      <c:lineChart>
        <c:varyColors val="0"/>
        <c:ser>
          <c:idx val="0"/>
          <c:order val="0"/>
          <c:tx>
            <c:strRef>
              <c:f>'Arus Kas'!$B$26</c:f>
            </c:strRef>
          </c:tx>
          <c:spPr>
            <a:ln cmpd="sng" w="28575">
              <a:solidFill>
                <a:srgbClr val="80B9B9">
                  <a:alpha val="100000"/>
                </a:srgbClr>
              </a:solidFill>
            </a:ln>
          </c:spPr>
          <c:marker>
            <c:symbol val="circle"/>
            <c:size val="4"/>
            <c:spPr>
              <a:solidFill>
                <a:srgbClr val="80B9B9">
                  <a:alpha val="100000"/>
                </a:srgbClr>
              </a:solidFill>
              <a:ln cmpd="sng">
                <a:solidFill>
                  <a:srgbClr val="80B9B9">
                    <a:alpha val="100000"/>
                  </a:srgbClr>
                </a:solidFill>
              </a:ln>
            </c:spPr>
          </c:marker>
          <c:cat>
            <c:strRef>
              <c:f>'Arus Kas'!$C$2:$N$2</c:f>
            </c:strRef>
          </c:cat>
          <c:val>
            <c:numRef>
              <c:f>'Arus Kas'!$C$26:$N$26</c:f>
              <c:numCache/>
            </c:numRef>
          </c:val>
          <c:smooth val="1"/>
        </c:ser>
        <c:axId val="269471009"/>
        <c:axId val="835081215"/>
      </c:lineChart>
      <c:catAx>
        <c:axId val="26947100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a:solidFill>
                  <a:srgbClr val="000000"/>
                </a:solidFill>
                <a:latin typeface="Tahoma"/>
              </a:defRPr>
            </a:pPr>
          </a:p>
        </c:txPr>
        <c:crossAx val="835081215"/>
      </c:catAx>
      <c:valAx>
        <c:axId val="83508121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Tahoma"/>
                  </a:defRPr>
                </a:pPr>
                <a:r>
                  <a:rPr b="0">
                    <a:solidFill>
                      <a:srgbClr val="000000"/>
                    </a:solidFill>
                    <a:latin typeface="Tahoma"/>
                  </a:rPr>
                  <a:t>Total</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69471009"/>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600">
                <a:solidFill>
                  <a:srgbClr val="434343"/>
                </a:solidFill>
                <a:latin typeface="Tahoma"/>
              </a:defRPr>
            </a:pPr>
            <a:r>
              <a:rPr b="1" sz="1600">
                <a:solidFill>
                  <a:srgbClr val="434343"/>
                </a:solidFill>
                <a:latin typeface="Tahoma"/>
              </a:rPr>
              <a:t>Nominal Pengeluaran Per Bulan</a:t>
            </a:r>
          </a:p>
        </c:rich>
      </c:tx>
      <c:overlay val="0"/>
    </c:title>
    <c:plotArea>
      <c:layout/>
      <c:lineChart>
        <c:varyColors val="0"/>
        <c:ser>
          <c:idx val="0"/>
          <c:order val="0"/>
          <c:tx>
            <c:strRef>
              <c:f>'Arus Kas'!$B$50</c:f>
            </c:strRef>
          </c:tx>
          <c:spPr>
            <a:ln cmpd="sng" w="28575">
              <a:solidFill>
                <a:srgbClr val="FF9E9E">
                  <a:alpha val="100000"/>
                </a:srgbClr>
              </a:solidFill>
            </a:ln>
          </c:spPr>
          <c:marker>
            <c:symbol val="circle"/>
            <c:size val="4"/>
            <c:spPr>
              <a:solidFill>
                <a:srgbClr val="FF9E9E">
                  <a:alpha val="100000"/>
                </a:srgbClr>
              </a:solidFill>
              <a:ln cmpd="sng">
                <a:solidFill>
                  <a:srgbClr val="FF9E9E">
                    <a:alpha val="100000"/>
                  </a:srgbClr>
                </a:solidFill>
              </a:ln>
            </c:spPr>
          </c:marker>
          <c:cat>
            <c:strRef>
              <c:f>'Arus Kas'!$C$2:$N$2</c:f>
            </c:strRef>
          </c:cat>
          <c:val>
            <c:numRef>
              <c:f>'Arus Kas'!$C$50:$N$50</c:f>
              <c:numCache/>
            </c:numRef>
          </c:val>
          <c:smooth val="1"/>
        </c:ser>
        <c:axId val="1119415313"/>
        <c:axId val="878896307"/>
      </c:lineChart>
      <c:catAx>
        <c:axId val="111941531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a:solidFill>
                  <a:srgbClr val="000000"/>
                </a:solidFill>
                <a:latin typeface="Tahoma"/>
              </a:defRPr>
            </a:pPr>
          </a:p>
        </c:txPr>
        <c:crossAx val="878896307"/>
      </c:catAx>
      <c:valAx>
        <c:axId val="87889630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Tahoma"/>
                  </a:defRPr>
                </a:pPr>
                <a:r>
                  <a:rPr b="0">
                    <a:solidFill>
                      <a:srgbClr val="000000"/>
                    </a:solidFill>
                    <a:latin typeface="Tahoma"/>
                  </a:rPr>
                  <a:t>Nominal</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19415313"/>
      </c:valAx>
    </c:plotArea>
    <c:legend>
      <c:legendPos val="r"/>
      <c:overlay val="0"/>
      <c:txPr>
        <a:bodyPr/>
        <a:lstStyle/>
        <a:p>
          <a:pPr lvl="0">
            <a:defRPr b="0">
              <a:solidFill>
                <a:srgbClr val="1A1A1A"/>
              </a:solidFill>
              <a:latin typeface="+mn-lt"/>
            </a:defRPr>
          </a:pPr>
        </a:p>
      </c:txPr>
    </c:legend>
    <c:plotVisOnly val="1"/>
  </c:chart>
</c:chartSpac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142875</xdr:colOff>
      <xdr:row>10</xdr:row>
      <xdr:rowOff>219075</xdr:rowOff>
    </xdr:from>
    <xdr:ext cx="4819650" cy="35528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381000</xdr:colOff>
      <xdr:row>10</xdr:row>
      <xdr:rowOff>219075</xdr:rowOff>
    </xdr:from>
    <xdr:ext cx="4819650" cy="355282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uj-po-HiI9DZ7eXbtMsCvHOvshVx31opRocS44BsYe4/copy" TargetMode="External"/><Relationship Id="rId2" Type="http://schemas.openxmlformats.org/officeDocument/2006/relationships/hyperlink" Target="https://andre.id/dm" TargetMode="External"/><Relationship Id="rId3" Type="http://schemas.openxmlformats.org/officeDocument/2006/relationships/hyperlink" Target="https://twitter.com/andreqv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14D72"/>
    <outlinePr summaryBelow="0" summaryRight="0"/>
  </sheetPr>
  <sheetViews>
    <sheetView showGridLines="0" workbookViewId="0"/>
  </sheetViews>
  <sheetFormatPr customHeight="1" defaultColWidth="12.63" defaultRowHeight="15.75"/>
  <cols>
    <col customWidth="1" min="1" max="1" width="2.0"/>
    <col customWidth="1" min="8" max="8" width="2.0"/>
  </cols>
  <sheetData>
    <row r="1" ht="11.25" customHeight="1">
      <c r="A1" s="2"/>
      <c r="B1" s="2"/>
      <c r="C1" s="2"/>
      <c r="D1" s="2"/>
      <c r="E1" s="2"/>
      <c r="F1" s="2"/>
      <c r="G1" s="2"/>
      <c r="H1" s="2"/>
    </row>
    <row r="2">
      <c r="A2" s="2"/>
      <c r="B2" s="6" t="s">
        <v>1</v>
      </c>
      <c r="H2" s="2"/>
    </row>
    <row r="3">
      <c r="A3" s="2"/>
      <c r="B3" s="8">
        <v>45056.0</v>
      </c>
      <c r="H3" s="2"/>
    </row>
    <row r="4">
      <c r="A4" s="2"/>
      <c r="B4" s="12"/>
      <c r="C4" s="13"/>
      <c r="D4" s="13"/>
      <c r="E4" s="13"/>
      <c r="F4" s="13"/>
      <c r="G4" s="13"/>
      <c r="H4" s="2"/>
    </row>
    <row r="5" ht="11.25" customHeight="1">
      <c r="A5" s="2"/>
      <c r="B5" s="12"/>
      <c r="C5" s="12"/>
      <c r="D5" s="12"/>
      <c r="E5" s="12"/>
      <c r="F5" s="12"/>
      <c r="G5" s="12"/>
      <c r="H5" s="2"/>
    </row>
    <row r="6" ht="48.75" customHeight="1">
      <c r="A6" s="2"/>
      <c r="B6" s="29" t="s">
        <v>3</v>
      </c>
      <c r="C6" s="30"/>
      <c r="D6" s="30"/>
      <c r="E6" s="30"/>
      <c r="F6" s="30"/>
      <c r="G6" s="30"/>
      <c r="H6" s="2"/>
    </row>
    <row r="7" ht="11.25" customHeight="1">
      <c r="A7" s="2"/>
      <c r="B7" s="39"/>
      <c r="C7" s="30"/>
      <c r="D7" s="30"/>
      <c r="E7" s="30"/>
      <c r="F7" s="30"/>
      <c r="G7" s="30"/>
      <c r="H7" s="2"/>
    </row>
    <row r="8">
      <c r="A8" s="2"/>
      <c r="B8" s="48" t="s">
        <v>12</v>
      </c>
      <c r="C8" s="30"/>
      <c r="D8" s="30"/>
      <c r="E8" s="30"/>
      <c r="F8" s="30"/>
      <c r="G8" s="30"/>
      <c r="H8" s="2"/>
    </row>
    <row r="9" ht="29.25" customHeight="1">
      <c r="A9" s="2"/>
      <c r="B9" s="57" t="s">
        <v>19</v>
      </c>
      <c r="C9" s="60"/>
      <c r="D9" s="60"/>
      <c r="E9" s="60"/>
      <c r="F9" s="60"/>
      <c r="G9" s="60"/>
      <c r="H9" s="2"/>
    </row>
    <row r="10" ht="29.25" customHeight="1">
      <c r="A10" s="2"/>
      <c r="H10" s="2"/>
    </row>
    <row r="11" ht="29.25" customHeight="1">
      <c r="A11" s="2"/>
      <c r="B11" s="13"/>
      <c r="C11" s="13"/>
      <c r="D11" s="13"/>
      <c r="E11" s="13"/>
      <c r="F11" s="13"/>
      <c r="G11" s="13"/>
      <c r="H11" s="2"/>
    </row>
    <row r="12" ht="11.25" customHeight="1">
      <c r="A12" s="2"/>
      <c r="B12" s="62"/>
      <c r="C12" s="62"/>
      <c r="D12" s="62"/>
      <c r="E12" s="62"/>
      <c r="F12" s="62"/>
      <c r="G12" s="62"/>
      <c r="H12" s="2"/>
    </row>
    <row r="13">
      <c r="A13" s="2"/>
      <c r="B13" s="48" t="s">
        <v>20</v>
      </c>
      <c r="C13" s="30"/>
      <c r="D13" s="30"/>
      <c r="E13" s="30"/>
      <c r="F13" s="30"/>
      <c r="G13" s="30"/>
      <c r="H13" s="2"/>
    </row>
    <row r="14">
      <c r="A14" s="2"/>
      <c r="B14" s="68" t="s">
        <v>21</v>
      </c>
      <c r="C14" s="30"/>
      <c r="D14" s="30"/>
      <c r="E14" s="30"/>
      <c r="F14" s="30"/>
      <c r="G14" s="30"/>
      <c r="H14" s="2"/>
    </row>
    <row r="15">
      <c r="A15" s="2"/>
      <c r="B15" s="68" t="s">
        <v>23</v>
      </c>
      <c r="C15" s="30"/>
      <c r="D15" s="30"/>
      <c r="E15" s="30"/>
      <c r="F15" s="30"/>
      <c r="G15" s="30"/>
      <c r="H15" s="2"/>
    </row>
    <row r="16">
      <c r="A16" s="2"/>
      <c r="B16" s="68" t="s">
        <v>27</v>
      </c>
      <c r="C16" s="30"/>
      <c r="D16" s="30"/>
      <c r="E16" s="30"/>
      <c r="F16" s="30"/>
      <c r="G16" s="30"/>
      <c r="H16" s="2"/>
    </row>
    <row r="17">
      <c r="A17" s="2"/>
      <c r="B17" s="68" t="s">
        <v>29</v>
      </c>
      <c r="C17" s="30"/>
      <c r="D17" s="30"/>
      <c r="E17" s="30"/>
      <c r="F17" s="30"/>
      <c r="G17" s="30"/>
      <c r="H17" s="2"/>
    </row>
    <row r="18">
      <c r="A18" s="2"/>
      <c r="B18" s="72" t="s">
        <v>31</v>
      </c>
      <c r="C18" s="30"/>
      <c r="D18" s="30"/>
      <c r="E18" s="30"/>
      <c r="F18" s="30"/>
      <c r="G18" s="30"/>
      <c r="H18" s="2"/>
    </row>
    <row r="19">
      <c r="A19" s="2"/>
      <c r="B19" s="73"/>
      <c r="C19" s="73"/>
      <c r="D19" s="73"/>
      <c r="E19" s="73"/>
      <c r="F19" s="73"/>
      <c r="G19" s="73"/>
      <c r="H19" s="2"/>
    </row>
    <row r="20">
      <c r="A20" s="2"/>
      <c r="B20" s="48" t="s">
        <v>37</v>
      </c>
      <c r="C20" s="30"/>
      <c r="D20" s="30"/>
      <c r="E20" s="30"/>
      <c r="F20" s="30"/>
      <c r="G20" s="30"/>
      <c r="H20" s="2"/>
    </row>
    <row r="21" ht="37.5" customHeight="1">
      <c r="A21" s="74"/>
      <c r="B21" s="75" t="s">
        <v>38</v>
      </c>
      <c r="C21" s="30"/>
      <c r="D21" s="30"/>
      <c r="E21" s="30"/>
      <c r="F21" s="30"/>
      <c r="G21" s="30"/>
      <c r="H21" s="74"/>
    </row>
    <row r="22" ht="37.5" customHeight="1">
      <c r="A22" s="74"/>
      <c r="B22" s="76" t="s">
        <v>41</v>
      </c>
      <c r="C22" s="13"/>
      <c r="D22" s="13"/>
      <c r="E22" s="13"/>
      <c r="F22" s="13"/>
      <c r="G22" s="13"/>
      <c r="H22" s="74"/>
    </row>
    <row r="23" ht="37.5" customHeight="1">
      <c r="A23" s="77"/>
      <c r="B23" s="78" t="s">
        <v>42</v>
      </c>
      <c r="C23" s="13"/>
      <c r="D23" s="13"/>
      <c r="E23" s="13"/>
      <c r="F23" s="13"/>
      <c r="G23" s="13"/>
      <c r="H23" s="77"/>
    </row>
    <row r="24" ht="15.0" customHeight="1">
      <c r="A24" s="77"/>
      <c r="B24" s="79"/>
      <c r="C24" s="79"/>
      <c r="D24" s="79"/>
      <c r="E24" s="79"/>
      <c r="F24" s="79"/>
      <c r="G24" s="79"/>
      <c r="H24" s="77"/>
    </row>
    <row r="25">
      <c r="A25" s="77"/>
      <c r="B25" s="80" t="s">
        <v>48</v>
      </c>
      <c r="C25" s="13"/>
      <c r="D25" s="13"/>
      <c r="E25" s="13"/>
      <c r="F25" s="13"/>
      <c r="G25" s="13"/>
      <c r="H25" s="77"/>
    </row>
    <row r="26">
      <c r="A26" s="2"/>
      <c r="B26" s="81"/>
      <c r="C26" s="81"/>
      <c r="D26" s="81"/>
      <c r="E26" s="81"/>
      <c r="F26" s="81"/>
      <c r="G26" s="81"/>
      <c r="H26" s="2"/>
    </row>
    <row r="27" ht="11.25" customHeight="1">
      <c r="A27" s="2"/>
      <c r="B27" s="82"/>
      <c r="C27" s="30"/>
      <c r="D27" s="30"/>
      <c r="E27" s="30"/>
      <c r="F27" s="30"/>
      <c r="G27" s="30"/>
      <c r="H27" s="2"/>
    </row>
    <row r="28">
      <c r="A28" s="2"/>
      <c r="B28" s="83"/>
      <c r="C28" s="83"/>
      <c r="D28" s="83"/>
      <c r="E28" s="83"/>
      <c r="F28" s="83"/>
      <c r="G28" s="83"/>
      <c r="H28" s="2"/>
    </row>
    <row r="29">
      <c r="A29" s="2"/>
      <c r="B29" s="84" t="s">
        <v>51</v>
      </c>
      <c r="C29" s="30"/>
      <c r="D29" s="30"/>
      <c r="E29" s="30"/>
      <c r="F29" s="30"/>
      <c r="G29" s="30"/>
      <c r="H29" s="2"/>
    </row>
    <row r="30">
      <c r="A30" s="2"/>
      <c r="B30" s="39"/>
      <c r="C30" s="30"/>
      <c r="D30" s="30"/>
      <c r="E30" s="30"/>
      <c r="F30" s="30"/>
      <c r="G30" s="30"/>
      <c r="H30" s="2"/>
    </row>
    <row r="31" ht="15.0" customHeight="1">
      <c r="A31" s="85"/>
      <c r="B31" s="85"/>
      <c r="C31" s="85"/>
      <c r="D31" s="85"/>
      <c r="E31" s="85"/>
      <c r="F31" s="85"/>
      <c r="G31" s="86" t="s">
        <v>52</v>
      </c>
      <c r="H31" s="85"/>
    </row>
  </sheetData>
  <mergeCells count="21">
    <mergeCell ref="B2:G2"/>
    <mergeCell ref="B3:G3"/>
    <mergeCell ref="B4:G4"/>
    <mergeCell ref="B6:G6"/>
    <mergeCell ref="B7:G7"/>
    <mergeCell ref="B8:G8"/>
    <mergeCell ref="B9:G11"/>
    <mergeCell ref="B21:G21"/>
    <mergeCell ref="B22:G22"/>
    <mergeCell ref="B23:G23"/>
    <mergeCell ref="B25:G25"/>
    <mergeCell ref="B27:G27"/>
    <mergeCell ref="B29:G29"/>
    <mergeCell ref="B30:G30"/>
    <mergeCell ref="B13:G13"/>
    <mergeCell ref="B14:G14"/>
    <mergeCell ref="B15:G15"/>
    <mergeCell ref="B16:G16"/>
    <mergeCell ref="B17:G17"/>
    <mergeCell ref="B18:G18"/>
    <mergeCell ref="B20:G20"/>
  </mergeCells>
  <hyperlinks>
    <hyperlink r:id="rId1" ref="B6"/>
    <hyperlink display="1. Saat pertama kali menggunakan template ini, pastikan kamu menyesuaikan beberapa pengaturan umum pada sheet ⚙️Pengaturan. Atur Nama Usaha, Jenis Pemeriksaan, Harga Paket, Jenis Pengeluaran, dan Nama Dokter." location="'⚙️Pengaturan'!A1" ref="B14"/>
    <hyperlink display="2. Setiap kali terjadi transaksi pendapatan/pemasukan, silahkan catat trasaksinya pada sheet Pendapatan. Pilih tanggal terjadinya transaksi dengan cara klik 2x pada kolom  D, sesuaikan nama produk, lalu nominal transaksi akan otomatis terisi." location="Pemasukan!A1" ref="B15"/>
    <hyperlink display="3. Lakukan hal yg sama seperti panduan nomor 2 untuk setiap transaksi pengeluaran pada sheet Pengeluaran. " location="Pengeluaran!A1" ref="B16"/>
    <hyperlink display="3. Jika data yg kamu masukan sudah sesuai, silahkan cek pada sheet Arus Kas untuk akumulasi transaksi yg sudah dicatat. Lihat pada bagian atas untuk kolom sesuai bulan berjalan." location="'Arus Kas'!A1" ref="B17"/>
    <hyperlink display="4. Untuk rekap transaksi, silahkan cek pada sheet Laporan. Pada sheet ini kamu dapat melihat ringkasan transaksi secara bulanan maupun dalam periode waktu tertentu dengan mengganti tanggal mulai dan selesai laporan. [NEW!]" location="Laporan!A1" ref="B18"/>
    <hyperlink r:id="rId2" ref="B23"/>
    <hyperlink r:id="rId3" ref="G31"/>
  </hyperlin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6C2D5"/>
    <outlinePr summaryBelow="0" summaryRight="0"/>
  </sheetPr>
  <sheetViews>
    <sheetView showGridLines="0" workbookViewId="0"/>
  </sheetViews>
  <sheetFormatPr customHeight="1" defaultColWidth="12.63" defaultRowHeight="15.75"/>
  <cols>
    <col customWidth="1" min="1" max="1" width="1.75"/>
    <col customWidth="1" min="2" max="2" width="6.75"/>
    <col customWidth="1" min="3" max="3" width="5.38"/>
    <col customWidth="1" min="4" max="4" width="12.0"/>
    <col customWidth="1" min="5" max="5" width="23.38"/>
    <col customWidth="1" min="6" max="6" width="22.0"/>
    <col customWidth="1" min="7" max="7" width="17.0"/>
    <col customWidth="1" min="8" max="8" width="18.88"/>
    <col customWidth="1" min="9" max="10" width="17.0"/>
    <col customWidth="1" min="11" max="11" width="1.75"/>
  </cols>
  <sheetData>
    <row r="1" ht="9.0" customHeight="1">
      <c r="A1" s="1"/>
      <c r="B1" s="3"/>
      <c r="C1" s="4"/>
      <c r="D1" s="5"/>
      <c r="E1" s="5"/>
      <c r="F1" s="7"/>
      <c r="G1" s="10"/>
      <c r="H1" s="11"/>
      <c r="I1" s="10"/>
      <c r="J1" s="10"/>
      <c r="K1" s="3"/>
    </row>
    <row r="2" ht="26.25" customHeight="1">
      <c r="A2" s="3"/>
      <c r="B2" s="14" t="s">
        <v>2</v>
      </c>
      <c r="K2" s="3"/>
    </row>
    <row r="3" ht="9.0" customHeight="1">
      <c r="A3" s="3"/>
      <c r="B3" s="16"/>
      <c r="C3" s="17"/>
      <c r="D3" s="18"/>
      <c r="E3" s="18"/>
      <c r="F3" s="16"/>
      <c r="G3" s="20"/>
      <c r="H3" s="16"/>
      <c r="I3" s="20"/>
      <c r="J3" s="16"/>
      <c r="K3" s="3"/>
    </row>
    <row r="4" ht="21.0" customHeight="1">
      <c r="A4" s="3"/>
      <c r="B4" s="21" t="s">
        <v>4</v>
      </c>
      <c r="C4" s="22"/>
      <c r="D4" s="25">
        <f>TODAY()</f>
        <v>46314</v>
      </c>
      <c r="E4" s="25"/>
      <c r="F4" s="26"/>
      <c r="G4" s="27"/>
      <c r="H4" s="28"/>
      <c r="I4" s="27"/>
      <c r="J4" s="28" t="str">
        <f>'⚙️Pengaturan'!B3</f>
        <v>Fisioterapi Gang Sehat Singkawang</v>
      </c>
      <c r="K4" s="3"/>
    </row>
    <row r="5" ht="9.0" customHeight="1">
      <c r="A5" s="3"/>
      <c r="B5" s="3"/>
      <c r="C5" s="31"/>
      <c r="D5" s="32"/>
      <c r="E5" s="32"/>
      <c r="F5" s="34"/>
      <c r="G5" s="20"/>
      <c r="H5" s="34"/>
      <c r="I5" s="20"/>
      <c r="J5" s="35"/>
      <c r="K5" s="3"/>
    </row>
    <row r="6" ht="25.5" customHeight="1">
      <c r="A6" s="36"/>
      <c r="B6" s="38" t="s">
        <v>5</v>
      </c>
      <c r="C6" s="41" t="s">
        <v>6</v>
      </c>
      <c r="D6" s="42" t="s">
        <v>7</v>
      </c>
      <c r="E6" s="44" t="s">
        <v>8</v>
      </c>
      <c r="F6" s="44" t="s">
        <v>9</v>
      </c>
      <c r="G6" s="45" t="s">
        <v>10</v>
      </c>
      <c r="H6" s="44" t="s">
        <v>11</v>
      </c>
      <c r="I6" s="46" t="s">
        <v>13</v>
      </c>
      <c r="J6" s="45" t="s">
        <v>14</v>
      </c>
      <c r="K6" s="47" t="s">
        <v>0</v>
      </c>
    </row>
    <row r="7" ht="7.5" customHeight="1">
      <c r="A7" s="3"/>
      <c r="B7" s="49"/>
      <c r="C7" s="51"/>
      <c r="D7" s="53"/>
      <c r="E7" s="53"/>
      <c r="F7" s="54"/>
      <c r="G7" s="55"/>
      <c r="H7" s="56"/>
      <c r="I7" s="55"/>
      <c r="J7" s="59"/>
      <c r="K7" s="3"/>
    </row>
    <row r="8" ht="17.25" customHeight="1">
      <c r="A8" s="61"/>
      <c r="B8" s="63" t="b">
        <v>0</v>
      </c>
      <c r="C8" s="64">
        <f t="array" ref="C8:C1007">SEQUENCE(1000,"1")</f>
        <v>1</v>
      </c>
      <c r="D8" s="65">
        <v>45293.0</v>
      </c>
      <c r="E8" s="67" t="s">
        <v>22</v>
      </c>
      <c r="F8" s="67" t="s">
        <v>24</v>
      </c>
      <c r="G8" s="69">
        <f>SUMPRODUCT(('⚙️Pengaturan'!$C$3:$C$100=$F8)*('⚙️Pengaturan'!$D$3:$D$100))</f>
        <v>250000</v>
      </c>
      <c r="H8" s="70" t="s">
        <v>28</v>
      </c>
      <c r="I8" s="69"/>
      <c r="J8" s="69">
        <f t="shared" ref="J8:J473" si="1">G8-I8</f>
        <v>250000</v>
      </c>
      <c r="K8" s="71"/>
    </row>
    <row r="9" ht="17.25" customHeight="1">
      <c r="A9" s="61"/>
      <c r="B9" s="63" t="b">
        <v>0</v>
      </c>
      <c r="C9" s="64">
        <v>2.0</v>
      </c>
      <c r="D9" s="65">
        <v>45293.0</v>
      </c>
      <c r="E9" s="67" t="s">
        <v>34</v>
      </c>
      <c r="F9" s="67" t="s">
        <v>24</v>
      </c>
      <c r="G9" s="69">
        <f>SUMPRODUCT(('⚙️Pengaturan'!$C$3:$C$100=$F9)*('⚙️Pengaturan'!$D$3:$D$100))</f>
        <v>250000</v>
      </c>
      <c r="H9" s="70" t="s">
        <v>28</v>
      </c>
      <c r="I9" s="69"/>
      <c r="J9" s="69">
        <f t="shared" si="1"/>
        <v>250000</v>
      </c>
      <c r="K9" s="71"/>
    </row>
    <row r="10" ht="17.25" customHeight="1">
      <c r="A10" s="61"/>
      <c r="B10" s="63" t="b">
        <v>0</v>
      </c>
      <c r="C10" s="64">
        <v>3.0</v>
      </c>
      <c r="D10" s="65">
        <v>45295.0</v>
      </c>
      <c r="E10" s="67" t="s">
        <v>39</v>
      </c>
      <c r="F10" s="67" t="s">
        <v>24</v>
      </c>
      <c r="G10" s="69">
        <f>SUMPRODUCT(('⚙️Pengaturan'!$C$3:$C$100=$F10)*('⚙️Pengaturan'!$D$3:$D$100))</f>
        <v>250000</v>
      </c>
      <c r="H10" s="70" t="s">
        <v>28</v>
      </c>
      <c r="I10" s="69"/>
      <c r="J10" s="69">
        <f t="shared" si="1"/>
        <v>250000</v>
      </c>
      <c r="K10" s="71"/>
    </row>
    <row r="11" ht="17.25" customHeight="1">
      <c r="A11" s="61"/>
      <c r="B11" s="63" t="b">
        <v>0</v>
      </c>
      <c r="C11" s="64">
        <v>4.0</v>
      </c>
      <c r="D11" s="65">
        <v>45297.0</v>
      </c>
      <c r="E11" s="67" t="s">
        <v>43</v>
      </c>
      <c r="F11" s="67" t="s">
        <v>44</v>
      </c>
      <c r="G11" s="69">
        <f>SUMPRODUCT(('⚙️Pengaturan'!$C$3:$C$100=$F11)*('⚙️Pengaturan'!$D$3:$D$100))</f>
        <v>150000</v>
      </c>
      <c r="H11" s="70" t="s">
        <v>28</v>
      </c>
      <c r="I11" s="69"/>
      <c r="J11" s="69">
        <f t="shared" si="1"/>
        <v>150000</v>
      </c>
      <c r="K11" s="71"/>
    </row>
    <row r="12" ht="17.25" customHeight="1">
      <c r="A12" s="61"/>
      <c r="B12" s="63" t="b">
        <v>0</v>
      </c>
      <c r="C12" s="64">
        <v>5.0</v>
      </c>
      <c r="D12" s="65">
        <v>45297.0</v>
      </c>
      <c r="E12" s="67" t="s">
        <v>34</v>
      </c>
      <c r="F12" s="67" t="s">
        <v>44</v>
      </c>
      <c r="G12" s="69">
        <f>SUMPRODUCT(('⚙️Pengaturan'!$C$3:$C$100=$F12)*('⚙️Pengaturan'!$D$3:$D$100))</f>
        <v>150000</v>
      </c>
      <c r="H12" s="70" t="s">
        <v>28</v>
      </c>
      <c r="I12" s="69"/>
      <c r="J12" s="69">
        <f t="shared" si="1"/>
        <v>150000</v>
      </c>
      <c r="K12" s="71"/>
    </row>
    <row r="13" ht="17.25" customHeight="1">
      <c r="A13" s="61"/>
      <c r="B13" s="63" t="b">
        <v>0</v>
      </c>
      <c r="C13" s="64">
        <v>6.0</v>
      </c>
      <c r="D13" s="65">
        <v>45298.0</v>
      </c>
      <c r="E13" s="67" t="s">
        <v>49</v>
      </c>
      <c r="F13" s="67" t="s">
        <v>24</v>
      </c>
      <c r="G13" s="69">
        <f>SUMPRODUCT(('⚙️Pengaturan'!$C$3:$C$100=$F13)*('⚙️Pengaturan'!$D$3:$D$100))</f>
        <v>250000</v>
      </c>
      <c r="H13" s="70" t="s">
        <v>28</v>
      </c>
      <c r="I13" s="69"/>
      <c r="J13" s="69">
        <f t="shared" si="1"/>
        <v>250000</v>
      </c>
      <c r="K13" s="71"/>
    </row>
    <row r="14" ht="17.25" customHeight="1">
      <c r="A14" s="61"/>
      <c r="B14" s="63" t="b">
        <v>0</v>
      </c>
      <c r="C14" s="64">
        <v>7.0</v>
      </c>
      <c r="D14" s="65">
        <v>45299.0</v>
      </c>
      <c r="E14" s="67" t="s">
        <v>50</v>
      </c>
      <c r="F14" s="67" t="s">
        <v>24</v>
      </c>
      <c r="G14" s="69">
        <f>SUMPRODUCT(('⚙️Pengaturan'!$C$3:$C$100=$F14)*('⚙️Pengaturan'!$D$3:$D$100))</f>
        <v>250000</v>
      </c>
      <c r="H14" s="70" t="s">
        <v>28</v>
      </c>
      <c r="I14" s="69"/>
      <c r="J14" s="69">
        <f t="shared" si="1"/>
        <v>250000</v>
      </c>
      <c r="K14" s="71"/>
    </row>
    <row r="15" ht="17.25" customHeight="1">
      <c r="A15" s="61"/>
      <c r="B15" s="63" t="b">
        <v>0</v>
      </c>
      <c r="C15" s="64">
        <v>8.0</v>
      </c>
      <c r="D15" s="65">
        <v>45299.0</v>
      </c>
      <c r="E15" s="67" t="s">
        <v>50</v>
      </c>
      <c r="F15" s="67" t="s">
        <v>53</v>
      </c>
      <c r="G15" s="69">
        <f>SUMPRODUCT(('⚙️Pengaturan'!$C$3:$C$100=$F15)*('⚙️Pengaturan'!$D$3:$D$100))</f>
        <v>650000</v>
      </c>
      <c r="H15" s="70" t="s">
        <v>28</v>
      </c>
      <c r="I15" s="69">
        <v>450000.0</v>
      </c>
      <c r="J15" s="69">
        <f t="shared" si="1"/>
        <v>200000</v>
      </c>
      <c r="K15" s="71"/>
    </row>
    <row r="16" ht="17.25" customHeight="1">
      <c r="A16" s="61"/>
      <c r="B16" s="63" t="b">
        <v>0</v>
      </c>
      <c r="C16" s="64">
        <v>9.0</v>
      </c>
      <c r="D16" s="65">
        <v>45299.0</v>
      </c>
      <c r="E16" s="67" t="s">
        <v>54</v>
      </c>
      <c r="F16" s="67" t="s">
        <v>44</v>
      </c>
      <c r="G16" s="69">
        <f>SUMPRODUCT(('⚙️Pengaturan'!$C$3:$C$100=$F16)*('⚙️Pengaturan'!$D$3:$D$100))</f>
        <v>150000</v>
      </c>
      <c r="H16" s="70" t="s">
        <v>28</v>
      </c>
      <c r="I16" s="69"/>
      <c r="J16" s="69">
        <f t="shared" si="1"/>
        <v>150000</v>
      </c>
      <c r="K16" s="71"/>
    </row>
    <row r="17" ht="17.25" customHeight="1">
      <c r="A17" s="61"/>
      <c r="B17" s="63" t="b">
        <v>0</v>
      </c>
      <c r="C17" s="64">
        <v>10.0</v>
      </c>
      <c r="D17" s="65">
        <v>45299.0</v>
      </c>
      <c r="E17" s="67" t="s">
        <v>58</v>
      </c>
      <c r="F17" s="67" t="s">
        <v>24</v>
      </c>
      <c r="G17" s="69">
        <f>SUMPRODUCT(('⚙️Pengaturan'!$C$3:$C$100=$F17)*('⚙️Pengaturan'!$D$3:$D$100))</f>
        <v>250000</v>
      </c>
      <c r="H17" s="70" t="s">
        <v>28</v>
      </c>
      <c r="I17" s="69"/>
      <c r="J17" s="69">
        <f t="shared" si="1"/>
        <v>250000</v>
      </c>
      <c r="K17" s="71"/>
    </row>
    <row r="18" ht="17.25" customHeight="1">
      <c r="A18" s="61"/>
      <c r="B18" s="63" t="b">
        <v>0</v>
      </c>
      <c r="C18" s="64">
        <v>11.0</v>
      </c>
      <c r="D18" s="65">
        <v>45300.0</v>
      </c>
      <c r="E18" s="67" t="s">
        <v>62</v>
      </c>
      <c r="F18" s="67" t="s">
        <v>24</v>
      </c>
      <c r="G18" s="69">
        <f>SUMPRODUCT(('⚙️Pengaturan'!$C$3:$C$100=$F18)*('⚙️Pengaturan'!$D$3:$D$100))</f>
        <v>250000</v>
      </c>
      <c r="H18" s="70" t="s">
        <v>63</v>
      </c>
      <c r="I18" s="69"/>
      <c r="J18" s="69">
        <f t="shared" si="1"/>
        <v>250000</v>
      </c>
      <c r="K18" s="71"/>
    </row>
    <row r="19" ht="17.25" customHeight="1">
      <c r="A19" s="61"/>
      <c r="B19" s="63" t="b">
        <v>0</v>
      </c>
      <c r="C19" s="64">
        <v>12.0</v>
      </c>
      <c r="D19" s="65">
        <v>45301.0</v>
      </c>
      <c r="E19" s="67" t="s">
        <v>34</v>
      </c>
      <c r="F19" s="67" t="s">
        <v>44</v>
      </c>
      <c r="G19" s="69">
        <f>SUMPRODUCT(('⚙️Pengaturan'!$C$3:$C$100=$F19)*('⚙️Pengaturan'!$D$3:$D$100))</f>
        <v>150000</v>
      </c>
      <c r="H19" s="70" t="s">
        <v>28</v>
      </c>
      <c r="I19" s="69"/>
      <c r="J19" s="69">
        <f t="shared" si="1"/>
        <v>150000</v>
      </c>
      <c r="K19" s="71"/>
    </row>
    <row r="20" ht="17.25" customHeight="1">
      <c r="A20" s="61"/>
      <c r="B20" s="63" t="b">
        <v>0</v>
      </c>
      <c r="C20" s="64">
        <v>13.0</v>
      </c>
      <c r="D20" s="65">
        <v>45301.0</v>
      </c>
      <c r="E20" s="67" t="s">
        <v>65</v>
      </c>
      <c r="F20" s="67" t="s">
        <v>24</v>
      </c>
      <c r="G20" s="69">
        <f>SUMPRODUCT(('⚙️Pengaturan'!$C$3:$C$100=$F20)*('⚙️Pengaturan'!$D$3:$D$100))</f>
        <v>250000</v>
      </c>
      <c r="H20" s="70" t="s">
        <v>63</v>
      </c>
      <c r="I20" s="69"/>
      <c r="J20" s="69">
        <f t="shared" si="1"/>
        <v>250000</v>
      </c>
      <c r="K20" s="71"/>
    </row>
    <row r="21" ht="17.25" customHeight="1">
      <c r="A21" s="61"/>
      <c r="B21" s="63" t="b">
        <v>0</v>
      </c>
      <c r="C21" s="64">
        <v>14.0</v>
      </c>
      <c r="D21" s="65">
        <v>45301.0</v>
      </c>
      <c r="E21" s="67" t="s">
        <v>65</v>
      </c>
      <c r="F21" s="67" t="s">
        <v>67</v>
      </c>
      <c r="G21" s="69">
        <f>SUMPRODUCT(('⚙️Pengaturan'!$C$3:$C$100=$F21)*('⚙️Pengaturan'!$D$3:$D$100))</f>
        <v>1200000</v>
      </c>
      <c r="H21" s="70" t="s">
        <v>63</v>
      </c>
      <c r="I21" s="69"/>
      <c r="J21" s="69">
        <f t="shared" si="1"/>
        <v>1200000</v>
      </c>
      <c r="K21" s="71"/>
    </row>
    <row r="22" ht="17.25" customHeight="1">
      <c r="A22" s="61"/>
      <c r="B22" s="63" t="b">
        <v>0</v>
      </c>
      <c r="C22" s="64">
        <v>15.0</v>
      </c>
      <c r="D22" s="65">
        <v>45302.0</v>
      </c>
      <c r="E22" s="67" t="s">
        <v>70</v>
      </c>
      <c r="F22" s="67" t="s">
        <v>24</v>
      </c>
      <c r="G22" s="69">
        <f>SUMPRODUCT(('⚙️Pengaturan'!$C$3:$C$100=$F22)*('⚙️Pengaturan'!$D$3:$D$100))</f>
        <v>250000</v>
      </c>
      <c r="H22" s="70" t="s">
        <v>63</v>
      </c>
      <c r="I22" s="69"/>
      <c r="J22" s="69">
        <f t="shared" si="1"/>
        <v>250000</v>
      </c>
      <c r="K22" s="71"/>
    </row>
    <row r="23" ht="17.25" customHeight="1">
      <c r="A23" s="61"/>
      <c r="B23" s="63" t="b">
        <v>0</v>
      </c>
      <c r="C23" s="64">
        <v>16.0</v>
      </c>
      <c r="D23" s="65">
        <v>45304.0</v>
      </c>
      <c r="E23" s="67" t="s">
        <v>73</v>
      </c>
      <c r="F23" s="67" t="s">
        <v>53</v>
      </c>
      <c r="G23" s="69">
        <f>SUMPRODUCT(('⚙️Pengaturan'!$C$3:$C$100=$F23)*('⚙️Pengaturan'!$D$3:$D$100))</f>
        <v>650000</v>
      </c>
      <c r="H23" s="70" t="s">
        <v>28</v>
      </c>
      <c r="I23" s="69"/>
      <c r="J23" s="69">
        <f t="shared" si="1"/>
        <v>650000</v>
      </c>
      <c r="K23" s="71"/>
    </row>
    <row r="24" ht="17.25" customHeight="1">
      <c r="A24" s="61"/>
      <c r="B24" s="63" t="b">
        <v>0</v>
      </c>
      <c r="C24" s="64">
        <v>17.0</v>
      </c>
      <c r="D24" s="65">
        <v>45304.0</v>
      </c>
      <c r="E24" s="67" t="s">
        <v>50</v>
      </c>
      <c r="F24" s="67" t="s">
        <v>53</v>
      </c>
      <c r="G24" s="69">
        <f>SUMPRODUCT(('⚙️Pengaturan'!$C$3:$C$100=$F24)*('⚙️Pengaturan'!$D$3:$D$100))</f>
        <v>650000</v>
      </c>
      <c r="H24" s="70" t="s">
        <v>28</v>
      </c>
      <c r="I24" s="69">
        <v>200000.0</v>
      </c>
      <c r="J24" s="69">
        <f t="shared" si="1"/>
        <v>450000</v>
      </c>
      <c r="K24" s="71"/>
    </row>
    <row r="25" ht="17.25" customHeight="1">
      <c r="A25" s="61"/>
      <c r="B25" s="63" t="b">
        <v>0</v>
      </c>
      <c r="C25" s="64">
        <v>18.0</v>
      </c>
      <c r="D25" s="65">
        <v>45305.0</v>
      </c>
      <c r="E25" s="67" t="s">
        <v>58</v>
      </c>
      <c r="F25" s="67" t="s">
        <v>44</v>
      </c>
      <c r="G25" s="69">
        <f>SUMPRODUCT(('⚙️Pengaturan'!$C$3:$C$100=$F25)*('⚙️Pengaturan'!$D$3:$D$100))</f>
        <v>150000</v>
      </c>
      <c r="H25" s="70" t="s">
        <v>28</v>
      </c>
      <c r="I25" s="69"/>
      <c r="J25" s="69">
        <f t="shared" si="1"/>
        <v>150000</v>
      </c>
      <c r="K25" s="71"/>
    </row>
    <row r="26" ht="17.25" customHeight="1">
      <c r="A26" s="61"/>
      <c r="B26" s="63" t="b">
        <v>0</v>
      </c>
      <c r="C26" s="64">
        <v>19.0</v>
      </c>
      <c r="D26" s="65">
        <v>45306.0</v>
      </c>
      <c r="E26" s="67" t="s">
        <v>92</v>
      </c>
      <c r="F26" s="67" t="s">
        <v>24</v>
      </c>
      <c r="G26" s="69">
        <f>SUMPRODUCT(('⚙️Pengaturan'!$C$3:$C$100=$F26)*('⚙️Pengaturan'!$D$3:$D$100))</f>
        <v>250000</v>
      </c>
      <c r="H26" s="70" t="s">
        <v>28</v>
      </c>
      <c r="I26" s="69"/>
      <c r="J26" s="69">
        <f t="shared" si="1"/>
        <v>250000</v>
      </c>
      <c r="K26" s="71"/>
    </row>
    <row r="27" ht="17.25" customHeight="1">
      <c r="A27" s="61"/>
      <c r="B27" s="63" t="b">
        <v>0</v>
      </c>
      <c r="C27" s="64">
        <v>20.0</v>
      </c>
      <c r="D27" s="65">
        <v>45306.0</v>
      </c>
      <c r="E27" s="67" t="s">
        <v>92</v>
      </c>
      <c r="F27" s="67" t="s">
        <v>53</v>
      </c>
      <c r="G27" s="69">
        <f>SUMPRODUCT(('⚙️Pengaturan'!$C$3:$C$100=$F27)*('⚙️Pengaturan'!$D$3:$D$100))</f>
        <v>650000</v>
      </c>
      <c r="H27" s="70" t="s">
        <v>28</v>
      </c>
      <c r="I27" s="69">
        <v>450000.0</v>
      </c>
      <c r="J27" s="69">
        <f t="shared" si="1"/>
        <v>200000</v>
      </c>
      <c r="K27" s="71"/>
    </row>
    <row r="28" ht="17.25" customHeight="1">
      <c r="A28" s="61"/>
      <c r="B28" s="63" t="b">
        <v>0</v>
      </c>
      <c r="C28" s="64">
        <v>21.0</v>
      </c>
      <c r="D28" s="65">
        <v>45308.0</v>
      </c>
      <c r="E28" s="67" t="s">
        <v>94</v>
      </c>
      <c r="F28" s="67" t="s">
        <v>53</v>
      </c>
      <c r="G28" s="69">
        <f>SUMPRODUCT(('⚙️Pengaturan'!$C$3:$C$100=$F28)*('⚙️Pengaturan'!$D$3:$D$100))</f>
        <v>650000</v>
      </c>
      <c r="H28" s="70" t="s">
        <v>28</v>
      </c>
      <c r="I28" s="69"/>
      <c r="J28" s="69">
        <f t="shared" si="1"/>
        <v>650000</v>
      </c>
      <c r="K28" s="71"/>
    </row>
    <row r="29" ht="17.25" customHeight="1">
      <c r="A29" s="61"/>
      <c r="B29" s="63" t="b">
        <v>0</v>
      </c>
      <c r="C29" s="64">
        <v>22.0</v>
      </c>
      <c r="D29" s="65">
        <v>45308.0</v>
      </c>
      <c r="E29" s="67" t="s">
        <v>96</v>
      </c>
      <c r="F29" s="67" t="s">
        <v>24</v>
      </c>
      <c r="G29" s="69">
        <f>SUMPRODUCT(('⚙️Pengaturan'!$C$3:$C$100=$F29)*('⚙️Pengaturan'!$D$3:$D$100))</f>
        <v>250000</v>
      </c>
      <c r="H29" s="70" t="s">
        <v>28</v>
      </c>
      <c r="I29" s="69"/>
      <c r="J29" s="69">
        <f t="shared" si="1"/>
        <v>250000</v>
      </c>
      <c r="K29" s="71"/>
    </row>
    <row r="30" ht="17.25" customHeight="1">
      <c r="A30" s="61"/>
      <c r="B30" s="63" t="b">
        <v>0</v>
      </c>
      <c r="C30" s="64">
        <v>23.0</v>
      </c>
      <c r="D30" s="65">
        <v>45308.0</v>
      </c>
      <c r="E30" s="67" t="s">
        <v>98</v>
      </c>
      <c r="F30" s="67" t="s">
        <v>44</v>
      </c>
      <c r="G30" s="69">
        <f>SUMPRODUCT(('⚙️Pengaturan'!$C$3:$C$100=$F30)*('⚙️Pengaturan'!$D$3:$D$100))</f>
        <v>150000</v>
      </c>
      <c r="H30" s="70" t="s">
        <v>28</v>
      </c>
      <c r="I30" s="69"/>
      <c r="J30" s="69">
        <f t="shared" si="1"/>
        <v>150000</v>
      </c>
      <c r="K30" s="71"/>
    </row>
    <row r="31" ht="17.25" customHeight="1">
      <c r="A31" s="61"/>
      <c r="B31" s="63" t="b">
        <v>0</v>
      </c>
      <c r="C31" s="64">
        <v>24.0</v>
      </c>
      <c r="D31" s="65">
        <v>45309.0</v>
      </c>
      <c r="E31" s="67" t="s">
        <v>101</v>
      </c>
      <c r="F31" s="67" t="s">
        <v>67</v>
      </c>
      <c r="G31" s="69">
        <f>SUMPRODUCT(('⚙️Pengaturan'!$C$3:$C$100=$F31)*('⚙️Pengaturan'!$D$3:$D$100))</f>
        <v>1200000</v>
      </c>
      <c r="H31" s="70" t="s">
        <v>28</v>
      </c>
      <c r="I31" s="69">
        <v>900000.0</v>
      </c>
      <c r="J31" s="69">
        <f t="shared" si="1"/>
        <v>300000</v>
      </c>
      <c r="K31" s="71"/>
    </row>
    <row r="32" ht="17.25" customHeight="1">
      <c r="A32" s="61"/>
      <c r="B32" s="63" t="b">
        <v>0</v>
      </c>
      <c r="C32" s="64">
        <v>25.0</v>
      </c>
      <c r="D32" s="65">
        <v>45309.0</v>
      </c>
      <c r="E32" s="67" t="s">
        <v>102</v>
      </c>
      <c r="F32" s="67" t="s">
        <v>24</v>
      </c>
      <c r="G32" s="69">
        <f>SUMPRODUCT(('⚙️Pengaturan'!$C$3:$C$100=$F32)*('⚙️Pengaturan'!$D$3:$D$100))</f>
        <v>250000</v>
      </c>
      <c r="H32" s="70" t="s">
        <v>28</v>
      </c>
      <c r="I32" s="69"/>
      <c r="J32" s="69">
        <f t="shared" si="1"/>
        <v>250000</v>
      </c>
      <c r="K32" s="71"/>
    </row>
    <row r="33" ht="17.25" customHeight="1">
      <c r="A33" s="61"/>
      <c r="B33" s="63" t="b">
        <v>0</v>
      </c>
      <c r="C33" s="64">
        <v>26.0</v>
      </c>
      <c r="D33" s="65">
        <v>45309.0</v>
      </c>
      <c r="E33" s="67" t="s">
        <v>92</v>
      </c>
      <c r="F33" s="67" t="s">
        <v>53</v>
      </c>
      <c r="G33" s="69">
        <f>SUMPRODUCT(('⚙️Pengaturan'!$C$3:$C$100=$F33)*('⚙️Pengaturan'!$D$3:$D$100))</f>
        <v>650000</v>
      </c>
      <c r="H33" s="70" t="s">
        <v>28</v>
      </c>
      <c r="I33" s="69">
        <v>200000.0</v>
      </c>
      <c r="J33" s="69">
        <f t="shared" si="1"/>
        <v>450000</v>
      </c>
      <c r="K33" s="71"/>
    </row>
    <row r="34" ht="17.25" customHeight="1">
      <c r="A34" s="61"/>
      <c r="B34" s="63" t="b">
        <v>0</v>
      </c>
      <c r="C34" s="64">
        <v>27.0</v>
      </c>
      <c r="D34" s="65">
        <v>45309.0</v>
      </c>
      <c r="E34" s="67" t="s">
        <v>39</v>
      </c>
      <c r="F34" s="67" t="s">
        <v>44</v>
      </c>
      <c r="G34" s="69">
        <f>SUMPRODUCT(('⚙️Pengaturan'!$C$3:$C$100=$F34)*('⚙️Pengaturan'!$D$3:$D$100))</f>
        <v>150000</v>
      </c>
      <c r="H34" s="70" t="s">
        <v>28</v>
      </c>
      <c r="I34" s="69"/>
      <c r="J34" s="69">
        <f t="shared" si="1"/>
        <v>150000</v>
      </c>
      <c r="K34" s="71"/>
    </row>
    <row r="35" ht="17.25" customHeight="1">
      <c r="A35" s="61"/>
      <c r="B35" s="63" t="b">
        <v>0</v>
      </c>
      <c r="C35" s="64">
        <v>28.0</v>
      </c>
      <c r="D35" s="65">
        <v>45309.0</v>
      </c>
      <c r="E35" s="67" t="s">
        <v>104</v>
      </c>
      <c r="F35" s="67" t="s">
        <v>67</v>
      </c>
      <c r="G35" s="69">
        <f>SUMPRODUCT(('⚙️Pengaturan'!$C$3:$C$100=$F35)*('⚙️Pengaturan'!$D$3:$D$100))</f>
        <v>1200000</v>
      </c>
      <c r="H35" s="70" t="s">
        <v>28</v>
      </c>
      <c r="I35" s="69">
        <v>600000.0</v>
      </c>
      <c r="J35" s="69">
        <f t="shared" si="1"/>
        <v>600000</v>
      </c>
      <c r="K35" s="71"/>
    </row>
    <row r="36" ht="17.25" customHeight="1">
      <c r="A36" s="61"/>
      <c r="B36" s="63" t="b">
        <v>0</v>
      </c>
      <c r="C36" s="64">
        <v>29.0</v>
      </c>
      <c r="D36" s="65">
        <v>45311.0</v>
      </c>
      <c r="E36" s="67" t="s">
        <v>108</v>
      </c>
      <c r="F36" s="67" t="s">
        <v>24</v>
      </c>
      <c r="G36" s="69">
        <f>SUMPRODUCT(('⚙️Pengaturan'!$C$3:$C$100=$F36)*('⚙️Pengaturan'!$D$3:$D$100))</f>
        <v>250000</v>
      </c>
      <c r="H36" s="70" t="s">
        <v>28</v>
      </c>
      <c r="I36" s="69"/>
      <c r="J36" s="69">
        <f t="shared" si="1"/>
        <v>250000</v>
      </c>
      <c r="K36" s="71"/>
    </row>
    <row r="37" ht="17.25" customHeight="1">
      <c r="A37" s="61"/>
      <c r="B37" s="63" t="b">
        <v>0</v>
      </c>
      <c r="C37" s="64">
        <v>30.0</v>
      </c>
      <c r="D37" s="65">
        <v>45311.0</v>
      </c>
      <c r="E37" s="67" t="s">
        <v>108</v>
      </c>
      <c r="F37" s="67" t="s">
        <v>53</v>
      </c>
      <c r="G37" s="69">
        <f>SUMPRODUCT(('⚙️Pengaturan'!$C$3:$C$100=$F37)*('⚙️Pengaturan'!$D$3:$D$100))</f>
        <v>650000</v>
      </c>
      <c r="H37" s="70" t="s">
        <v>28</v>
      </c>
      <c r="I37" s="69">
        <v>450000.0</v>
      </c>
      <c r="J37" s="69">
        <f t="shared" si="1"/>
        <v>200000</v>
      </c>
      <c r="K37" s="71"/>
    </row>
    <row r="38" ht="17.25" customHeight="1">
      <c r="A38" s="61"/>
      <c r="B38" s="63" t="b">
        <v>0</v>
      </c>
      <c r="C38" s="64">
        <v>31.0</v>
      </c>
      <c r="D38" s="65">
        <v>45311.0</v>
      </c>
      <c r="E38" s="67" t="s">
        <v>113</v>
      </c>
      <c r="F38" s="67" t="s">
        <v>24</v>
      </c>
      <c r="G38" s="69">
        <f>SUMPRODUCT(('⚙️Pengaturan'!$C$3:$C$100=$F38)*('⚙️Pengaturan'!$D$3:$D$100))</f>
        <v>250000</v>
      </c>
      <c r="H38" s="70" t="s">
        <v>28</v>
      </c>
      <c r="I38" s="69"/>
      <c r="J38" s="69">
        <f t="shared" si="1"/>
        <v>250000</v>
      </c>
      <c r="K38" s="71"/>
    </row>
    <row r="39" ht="17.25" customHeight="1">
      <c r="A39" s="61"/>
      <c r="B39" s="63" t="b">
        <v>0</v>
      </c>
      <c r="C39" s="64">
        <v>32.0</v>
      </c>
      <c r="D39" s="65">
        <v>45312.0</v>
      </c>
      <c r="E39" s="67" t="s">
        <v>115</v>
      </c>
      <c r="F39" s="67" t="s">
        <v>116</v>
      </c>
      <c r="G39" s="69">
        <f>SUMPRODUCT(('⚙️Pengaturan'!$C$3:$C$100=$F39)*('⚙️Pengaturan'!$D$3:$D$100))</f>
        <v>300000</v>
      </c>
      <c r="H39" s="70" t="s">
        <v>28</v>
      </c>
      <c r="I39" s="69"/>
      <c r="J39" s="69">
        <f t="shared" si="1"/>
        <v>300000</v>
      </c>
      <c r="K39" s="71"/>
    </row>
    <row r="40" ht="17.25" customHeight="1">
      <c r="A40" s="61"/>
      <c r="B40" s="63" t="b">
        <v>0</v>
      </c>
      <c r="C40" s="64">
        <v>33.0</v>
      </c>
      <c r="D40" s="65">
        <v>45313.0</v>
      </c>
      <c r="E40" s="67" t="s">
        <v>43</v>
      </c>
      <c r="F40" s="67" t="s">
        <v>44</v>
      </c>
      <c r="G40" s="69">
        <f>SUMPRODUCT(('⚙️Pengaturan'!$C$3:$C$100=$F40)*('⚙️Pengaturan'!$D$3:$D$100))</f>
        <v>150000</v>
      </c>
      <c r="H40" s="70" t="s">
        <v>28</v>
      </c>
      <c r="I40" s="69"/>
      <c r="J40" s="69">
        <f t="shared" si="1"/>
        <v>150000</v>
      </c>
      <c r="K40" s="71"/>
    </row>
    <row r="41" ht="17.25" customHeight="1">
      <c r="A41" s="61"/>
      <c r="B41" s="63" t="b">
        <v>0</v>
      </c>
      <c r="C41" s="64">
        <v>34.0</v>
      </c>
      <c r="D41" s="65">
        <v>45313.0</v>
      </c>
      <c r="E41" s="67" t="s">
        <v>108</v>
      </c>
      <c r="F41" s="67" t="s">
        <v>53</v>
      </c>
      <c r="G41" s="69">
        <f>SUMPRODUCT(('⚙️Pengaturan'!$C$3:$C$100=$F41)*('⚙️Pengaturan'!$D$3:$D$100))</f>
        <v>650000</v>
      </c>
      <c r="H41" s="70" t="s">
        <v>28</v>
      </c>
      <c r="I41" s="69">
        <v>200000.0</v>
      </c>
      <c r="J41" s="69">
        <f t="shared" si="1"/>
        <v>450000</v>
      </c>
      <c r="K41" s="71"/>
    </row>
    <row r="42" ht="17.25" customHeight="1">
      <c r="A42" s="61"/>
      <c r="B42" s="63" t="b">
        <v>0</v>
      </c>
      <c r="C42" s="64">
        <v>35.0</v>
      </c>
      <c r="D42" s="65">
        <v>45313.0</v>
      </c>
      <c r="E42" s="67" t="s">
        <v>120</v>
      </c>
      <c r="F42" s="67" t="s">
        <v>24</v>
      </c>
      <c r="G42" s="69">
        <f>SUMPRODUCT(('⚙️Pengaturan'!$C$3:$C$100=$F42)*('⚙️Pengaturan'!$D$3:$D$100))</f>
        <v>250000</v>
      </c>
      <c r="H42" s="70" t="s">
        <v>28</v>
      </c>
      <c r="I42" s="69"/>
      <c r="J42" s="69">
        <f t="shared" si="1"/>
        <v>250000</v>
      </c>
      <c r="K42" s="71"/>
    </row>
    <row r="43" ht="17.25" customHeight="1">
      <c r="A43" s="61"/>
      <c r="B43" s="63" t="b">
        <v>0</v>
      </c>
      <c r="C43" s="64">
        <v>36.0</v>
      </c>
      <c r="D43" s="65">
        <v>45314.0</v>
      </c>
      <c r="E43" s="67" t="s">
        <v>115</v>
      </c>
      <c r="F43" s="67" t="s">
        <v>124</v>
      </c>
      <c r="G43" s="69">
        <f>SUMPRODUCT(('⚙️Pengaturan'!$C$3:$C$100=$F43)*('⚙️Pengaturan'!$D$3:$D$100))</f>
        <v>200000</v>
      </c>
      <c r="H43" s="70" t="s">
        <v>28</v>
      </c>
      <c r="I43" s="69"/>
      <c r="J43" s="69">
        <f t="shared" si="1"/>
        <v>200000</v>
      </c>
      <c r="K43" s="71"/>
    </row>
    <row r="44" ht="17.25" customHeight="1">
      <c r="A44" s="61"/>
      <c r="B44" s="63" t="b">
        <v>0</v>
      </c>
      <c r="C44" s="64">
        <v>37.0</v>
      </c>
      <c r="D44" s="65">
        <v>45314.0</v>
      </c>
      <c r="E44" s="67" t="s">
        <v>127</v>
      </c>
      <c r="F44" s="67" t="s">
        <v>53</v>
      </c>
      <c r="G44" s="69">
        <f>SUMPRODUCT(('⚙️Pengaturan'!$C$3:$C$100=$F44)*('⚙️Pengaturan'!$D$3:$D$100))</f>
        <v>650000</v>
      </c>
      <c r="H44" s="70" t="s">
        <v>28</v>
      </c>
      <c r="I44" s="69"/>
      <c r="J44" s="69">
        <f t="shared" si="1"/>
        <v>650000</v>
      </c>
      <c r="K44" s="71"/>
    </row>
    <row r="45" ht="17.25" customHeight="1">
      <c r="A45" s="61"/>
      <c r="B45" s="63" t="b">
        <v>0</v>
      </c>
      <c r="C45" s="64">
        <v>38.0</v>
      </c>
      <c r="D45" s="65">
        <v>45314.0</v>
      </c>
      <c r="E45" s="67" t="s">
        <v>131</v>
      </c>
      <c r="F45" s="67" t="s">
        <v>116</v>
      </c>
      <c r="G45" s="69">
        <f>SUMPRODUCT(('⚙️Pengaturan'!$C$3:$C$100=$F45)*('⚙️Pengaturan'!$D$3:$D$100))</f>
        <v>300000</v>
      </c>
      <c r="H45" s="70" t="s">
        <v>63</v>
      </c>
      <c r="I45" s="69"/>
      <c r="J45" s="69">
        <f t="shared" si="1"/>
        <v>300000</v>
      </c>
      <c r="K45" s="71"/>
    </row>
    <row r="46" ht="17.25" customHeight="1">
      <c r="A46" s="61"/>
      <c r="B46" s="63" t="b">
        <v>0</v>
      </c>
      <c r="C46" s="64">
        <v>39.0</v>
      </c>
      <c r="D46" s="65">
        <v>45314.0</v>
      </c>
      <c r="E46" s="67" t="s">
        <v>131</v>
      </c>
      <c r="F46" s="67" t="s">
        <v>133</v>
      </c>
      <c r="G46" s="69">
        <f>SUMPRODUCT(('⚙️Pengaturan'!$C$3:$C$100=$F46)*('⚙️Pengaturan'!$D$3:$D$100))</f>
        <v>1800000</v>
      </c>
      <c r="H46" s="70" t="s">
        <v>63</v>
      </c>
      <c r="I46" s="69"/>
      <c r="J46" s="69">
        <f t="shared" si="1"/>
        <v>1800000</v>
      </c>
      <c r="K46" s="71"/>
    </row>
    <row r="47" ht="17.25" customHeight="1">
      <c r="A47" s="61"/>
      <c r="B47" s="63" t="b">
        <v>0</v>
      </c>
      <c r="C47" s="64">
        <v>40.0</v>
      </c>
      <c r="D47" s="65">
        <v>45314.0</v>
      </c>
      <c r="E47" s="67" t="s">
        <v>120</v>
      </c>
      <c r="F47" s="67" t="s">
        <v>53</v>
      </c>
      <c r="G47" s="69">
        <f>SUMPRODUCT(('⚙️Pengaturan'!$C$3:$C$100=$F47)*('⚙️Pengaturan'!$D$3:$D$100))</f>
        <v>650000</v>
      </c>
      <c r="H47" s="70" t="s">
        <v>28</v>
      </c>
      <c r="I47" s="69"/>
      <c r="J47" s="69">
        <f t="shared" si="1"/>
        <v>650000</v>
      </c>
      <c r="K47" s="71"/>
    </row>
    <row r="48" ht="17.25" customHeight="1">
      <c r="A48" s="61"/>
      <c r="B48" s="63" t="b">
        <v>0</v>
      </c>
      <c r="C48" s="64">
        <v>41.0</v>
      </c>
      <c r="D48" s="65">
        <v>45314.0</v>
      </c>
      <c r="E48" s="67" t="s">
        <v>135</v>
      </c>
      <c r="F48" s="67" t="s">
        <v>44</v>
      </c>
      <c r="G48" s="69">
        <f>SUMPRODUCT(('⚙️Pengaturan'!$C$3:$C$100=$F48)*('⚙️Pengaturan'!$D$3:$D$100))</f>
        <v>150000</v>
      </c>
      <c r="H48" s="70" t="s">
        <v>28</v>
      </c>
      <c r="I48" s="69"/>
      <c r="J48" s="69">
        <f t="shared" si="1"/>
        <v>150000</v>
      </c>
      <c r="K48" s="71"/>
    </row>
    <row r="49" ht="17.25" customHeight="1">
      <c r="A49" s="61"/>
      <c r="B49" s="63" t="b">
        <v>0</v>
      </c>
      <c r="C49" s="64">
        <v>42.0</v>
      </c>
      <c r="D49" s="65">
        <v>45315.0</v>
      </c>
      <c r="E49" s="67" t="s">
        <v>137</v>
      </c>
      <c r="F49" s="67" t="s">
        <v>53</v>
      </c>
      <c r="G49" s="69">
        <f>SUMPRODUCT(('⚙️Pengaturan'!$C$3:$C$100=$F49)*('⚙️Pengaturan'!$D$3:$D$100))</f>
        <v>650000</v>
      </c>
      <c r="H49" s="70" t="s">
        <v>63</v>
      </c>
      <c r="I49" s="69"/>
      <c r="J49" s="69">
        <f t="shared" si="1"/>
        <v>650000</v>
      </c>
      <c r="K49" s="71"/>
    </row>
    <row r="50" ht="17.25" customHeight="1">
      <c r="A50" s="61"/>
      <c r="B50" s="63" t="b">
        <v>0</v>
      </c>
      <c r="C50" s="64">
        <v>43.0</v>
      </c>
      <c r="D50" s="65">
        <v>45315.0</v>
      </c>
      <c r="E50" s="67" t="s">
        <v>140</v>
      </c>
      <c r="F50" s="67" t="s">
        <v>24</v>
      </c>
      <c r="G50" s="69">
        <f>SUMPRODUCT(('⚙️Pengaturan'!$C$3:$C$100=$F50)*('⚙️Pengaturan'!$D$3:$D$100))</f>
        <v>250000</v>
      </c>
      <c r="H50" s="70" t="s">
        <v>28</v>
      </c>
      <c r="I50" s="69"/>
      <c r="J50" s="69">
        <f t="shared" si="1"/>
        <v>250000</v>
      </c>
      <c r="K50" s="71"/>
    </row>
    <row r="51" ht="17.25" customHeight="1">
      <c r="A51" s="61"/>
      <c r="B51" s="63" t="b">
        <v>0</v>
      </c>
      <c r="C51" s="64">
        <v>44.0</v>
      </c>
      <c r="D51" s="65">
        <v>45316.0</v>
      </c>
      <c r="E51" s="67" t="s">
        <v>104</v>
      </c>
      <c r="F51" s="67" t="s">
        <v>67</v>
      </c>
      <c r="G51" s="69">
        <f>SUMPRODUCT(('⚙️Pengaturan'!$C$3:$C$100=$F51)*('⚙️Pengaturan'!$D$3:$D$100))</f>
        <v>1200000</v>
      </c>
      <c r="H51" s="70" t="s">
        <v>28</v>
      </c>
      <c r="I51" s="69">
        <v>600000.0</v>
      </c>
      <c r="J51" s="69">
        <f t="shared" si="1"/>
        <v>600000</v>
      </c>
      <c r="K51" s="71"/>
    </row>
    <row r="52" ht="17.25" customHeight="1">
      <c r="A52" s="61"/>
      <c r="B52" s="63" t="b">
        <v>0</v>
      </c>
      <c r="C52" s="64">
        <v>45.0</v>
      </c>
      <c r="D52" s="65">
        <v>45318.0</v>
      </c>
      <c r="E52" s="67" t="s">
        <v>142</v>
      </c>
      <c r="F52" s="67" t="s">
        <v>24</v>
      </c>
      <c r="G52" s="69">
        <f>SUMPRODUCT(('⚙️Pengaturan'!$C$3:$C$100=$F52)*('⚙️Pengaturan'!$D$3:$D$100))</f>
        <v>250000</v>
      </c>
      <c r="H52" s="70" t="s">
        <v>28</v>
      </c>
      <c r="I52" s="69"/>
      <c r="J52" s="69">
        <f t="shared" si="1"/>
        <v>250000</v>
      </c>
      <c r="K52" s="71"/>
    </row>
    <row r="53" ht="17.25" customHeight="1">
      <c r="A53" s="61"/>
      <c r="B53" s="63" t="b">
        <v>0</v>
      </c>
      <c r="C53" s="64">
        <v>46.0</v>
      </c>
      <c r="D53" s="65">
        <v>45318.0</v>
      </c>
      <c r="E53" s="67" t="s">
        <v>144</v>
      </c>
      <c r="F53" s="67" t="s">
        <v>24</v>
      </c>
      <c r="G53" s="69">
        <f>SUMPRODUCT(('⚙️Pengaturan'!$C$3:$C$100=$F53)*('⚙️Pengaturan'!$D$3:$D$100))</f>
        <v>250000</v>
      </c>
      <c r="H53" s="70" t="s">
        <v>28</v>
      </c>
      <c r="I53" s="69"/>
      <c r="J53" s="69">
        <f t="shared" si="1"/>
        <v>250000</v>
      </c>
      <c r="K53" s="71"/>
    </row>
    <row r="54" ht="17.25" customHeight="1">
      <c r="A54" s="61"/>
      <c r="B54" s="63" t="b">
        <v>0</v>
      </c>
      <c r="C54" s="64">
        <v>47.0</v>
      </c>
      <c r="D54" s="65">
        <v>45319.0</v>
      </c>
      <c r="E54" s="67" t="s">
        <v>145</v>
      </c>
      <c r="F54" s="67" t="s">
        <v>24</v>
      </c>
      <c r="G54" s="69">
        <f>SUMPRODUCT(('⚙️Pengaturan'!$C$3:$C$100=$F54)*('⚙️Pengaturan'!$D$3:$D$100))</f>
        <v>250000</v>
      </c>
      <c r="H54" s="70" t="s">
        <v>63</v>
      </c>
      <c r="I54" s="69"/>
      <c r="J54" s="69">
        <f t="shared" si="1"/>
        <v>250000</v>
      </c>
      <c r="K54" s="71"/>
    </row>
    <row r="55" ht="17.25" customHeight="1">
      <c r="A55" s="61"/>
      <c r="B55" s="63" t="b">
        <v>0</v>
      </c>
      <c r="C55" s="64">
        <v>48.0</v>
      </c>
      <c r="D55" s="65">
        <v>45319.0</v>
      </c>
      <c r="E55" s="67" t="s">
        <v>96</v>
      </c>
      <c r="F55" s="67" t="s">
        <v>44</v>
      </c>
      <c r="G55" s="69">
        <f>SUMPRODUCT(('⚙️Pengaturan'!$C$3:$C$100=$F55)*('⚙️Pengaturan'!$D$3:$D$100))</f>
        <v>150000</v>
      </c>
      <c r="H55" s="70" t="s">
        <v>28</v>
      </c>
      <c r="I55" s="69"/>
      <c r="J55" s="69">
        <f t="shared" si="1"/>
        <v>150000</v>
      </c>
      <c r="K55" s="71"/>
    </row>
    <row r="56" ht="17.25" customHeight="1">
      <c r="A56" s="61"/>
      <c r="B56" s="63" t="b">
        <v>0</v>
      </c>
      <c r="C56" s="64">
        <v>49.0</v>
      </c>
      <c r="D56" s="65">
        <v>45320.0</v>
      </c>
      <c r="E56" s="67" t="s">
        <v>101</v>
      </c>
      <c r="F56" s="67" t="s">
        <v>67</v>
      </c>
      <c r="G56" s="69">
        <f>SUMPRODUCT(('⚙️Pengaturan'!$C$3:$C$100=$F56)*('⚙️Pengaturan'!$D$3:$D$100))</f>
        <v>1200000</v>
      </c>
      <c r="H56" s="70" t="s">
        <v>28</v>
      </c>
      <c r="I56" s="69">
        <v>300000.0</v>
      </c>
      <c r="J56" s="69">
        <f t="shared" si="1"/>
        <v>900000</v>
      </c>
      <c r="K56" s="71"/>
    </row>
    <row r="57" ht="17.25" customHeight="1">
      <c r="A57" s="61"/>
      <c r="B57" s="63" t="b">
        <v>0</v>
      </c>
      <c r="C57" s="64">
        <v>50.0</v>
      </c>
      <c r="D57" s="65">
        <v>45320.0</v>
      </c>
      <c r="E57" s="67" t="s">
        <v>144</v>
      </c>
      <c r="F57" s="67" t="s">
        <v>53</v>
      </c>
      <c r="G57" s="69">
        <f>SUMPRODUCT(('⚙️Pengaturan'!$C$3:$C$100=$F57)*('⚙️Pengaturan'!$D$3:$D$100))</f>
        <v>650000</v>
      </c>
      <c r="H57" s="70" t="s">
        <v>28</v>
      </c>
      <c r="I57" s="69">
        <v>350000.0</v>
      </c>
      <c r="J57" s="69">
        <f t="shared" si="1"/>
        <v>300000</v>
      </c>
      <c r="K57" s="71"/>
    </row>
    <row r="58" ht="17.25" customHeight="1">
      <c r="A58" s="61"/>
      <c r="B58" s="63" t="b">
        <v>0</v>
      </c>
      <c r="C58" s="64">
        <v>51.0</v>
      </c>
      <c r="D58" s="65">
        <v>45320.0</v>
      </c>
      <c r="E58" s="67" t="s">
        <v>151</v>
      </c>
      <c r="F58" s="67" t="s">
        <v>24</v>
      </c>
      <c r="G58" s="69">
        <f>SUMPRODUCT(('⚙️Pengaturan'!$C$3:$C$100=$F58)*('⚙️Pengaturan'!$D$3:$D$100))</f>
        <v>250000</v>
      </c>
      <c r="H58" s="70" t="s">
        <v>28</v>
      </c>
      <c r="I58" s="69"/>
      <c r="J58" s="69">
        <f t="shared" si="1"/>
        <v>250000</v>
      </c>
      <c r="K58" s="71"/>
    </row>
    <row r="59" ht="17.25" customHeight="1">
      <c r="A59" s="61"/>
      <c r="B59" s="63" t="b">
        <v>0</v>
      </c>
      <c r="C59" s="64">
        <v>52.0</v>
      </c>
      <c r="D59" s="65">
        <v>45321.0</v>
      </c>
      <c r="E59" s="67" t="s">
        <v>155</v>
      </c>
      <c r="F59" s="67" t="s">
        <v>53</v>
      </c>
      <c r="G59" s="69">
        <f>SUMPRODUCT(('⚙️Pengaturan'!$C$3:$C$100=$F59)*('⚙️Pengaturan'!$D$3:$D$100))</f>
        <v>650000</v>
      </c>
      <c r="H59" s="70" t="s">
        <v>28</v>
      </c>
      <c r="I59" s="69">
        <v>300000.0</v>
      </c>
      <c r="J59" s="69">
        <f t="shared" si="1"/>
        <v>350000</v>
      </c>
      <c r="K59" s="71"/>
    </row>
    <row r="60" ht="17.25" customHeight="1">
      <c r="A60" s="61"/>
      <c r="B60" s="63" t="b">
        <v>0</v>
      </c>
      <c r="C60" s="64">
        <v>53.0</v>
      </c>
      <c r="D60" s="65">
        <v>45322.0</v>
      </c>
      <c r="E60" s="67" t="s">
        <v>159</v>
      </c>
      <c r="F60" s="67" t="s">
        <v>24</v>
      </c>
      <c r="G60" s="69">
        <f>SUMPRODUCT(('⚙️Pengaturan'!$C$3:$C$100=$F60)*('⚙️Pengaturan'!$D$3:$D$100))</f>
        <v>250000</v>
      </c>
      <c r="H60" s="70" t="s">
        <v>28</v>
      </c>
      <c r="I60" s="69"/>
      <c r="J60" s="69">
        <f t="shared" si="1"/>
        <v>250000</v>
      </c>
      <c r="K60" s="71"/>
    </row>
    <row r="61" ht="17.25" customHeight="1">
      <c r="A61" s="61"/>
      <c r="B61" s="63" t="b">
        <v>0</v>
      </c>
      <c r="C61" s="64">
        <v>54.0</v>
      </c>
      <c r="D61" s="65">
        <v>45323.0</v>
      </c>
      <c r="E61" s="67" t="s">
        <v>145</v>
      </c>
      <c r="F61" s="67" t="s">
        <v>44</v>
      </c>
      <c r="G61" s="69">
        <f>SUMPRODUCT(('⚙️Pengaturan'!$C$3:$C$100=$F61)*('⚙️Pengaturan'!$D$3:$D$100))</f>
        <v>150000</v>
      </c>
      <c r="H61" s="70" t="s">
        <v>63</v>
      </c>
      <c r="I61" s="69"/>
      <c r="J61" s="69">
        <f t="shared" si="1"/>
        <v>150000</v>
      </c>
      <c r="K61" s="71"/>
    </row>
    <row r="62" ht="17.25" customHeight="1">
      <c r="A62" s="61"/>
      <c r="B62" s="63" t="b">
        <v>0</v>
      </c>
      <c r="C62" s="64">
        <v>55.0</v>
      </c>
      <c r="D62" s="65">
        <v>45323.0</v>
      </c>
      <c r="E62" s="67" t="s">
        <v>159</v>
      </c>
      <c r="F62" s="67" t="s">
        <v>53</v>
      </c>
      <c r="G62" s="69">
        <f>SUMPRODUCT(('⚙️Pengaturan'!$C$3:$C$100=$F62)*('⚙️Pengaturan'!$D$3:$D$100))</f>
        <v>650000</v>
      </c>
      <c r="H62" s="70" t="s">
        <v>28</v>
      </c>
      <c r="I62" s="69"/>
      <c r="J62" s="69">
        <f t="shared" si="1"/>
        <v>650000</v>
      </c>
      <c r="K62" s="71"/>
    </row>
    <row r="63" ht="17.25" customHeight="1">
      <c r="A63" s="61"/>
      <c r="B63" s="63" t="b">
        <v>0</v>
      </c>
      <c r="C63" s="64">
        <v>56.0</v>
      </c>
      <c r="D63" s="65">
        <v>45325.0</v>
      </c>
      <c r="E63" s="67" t="s">
        <v>43</v>
      </c>
      <c r="F63" s="67" t="s">
        <v>44</v>
      </c>
      <c r="G63" s="69">
        <f>SUMPRODUCT(('⚙️Pengaturan'!$C$3:$C$100=$F63)*('⚙️Pengaturan'!$D$3:$D$100))</f>
        <v>150000</v>
      </c>
      <c r="H63" s="70" t="s">
        <v>28</v>
      </c>
      <c r="I63" s="69"/>
      <c r="J63" s="69">
        <f t="shared" si="1"/>
        <v>150000</v>
      </c>
      <c r="K63" s="71"/>
    </row>
    <row r="64" ht="17.25" customHeight="1">
      <c r="A64" s="61"/>
      <c r="B64" s="63" t="b">
        <v>0</v>
      </c>
      <c r="C64" s="64">
        <v>57.0</v>
      </c>
      <c r="D64" s="65">
        <v>45325.0</v>
      </c>
      <c r="E64" s="67" t="s">
        <v>142</v>
      </c>
      <c r="F64" s="67" t="s">
        <v>44</v>
      </c>
      <c r="G64" s="69">
        <f>SUMPRODUCT(('⚙️Pengaturan'!$C$3:$C$100=$F64)*('⚙️Pengaturan'!$D$3:$D$100))</f>
        <v>150000</v>
      </c>
      <c r="H64" s="70" t="s">
        <v>28</v>
      </c>
      <c r="I64" s="69"/>
      <c r="J64" s="69">
        <f t="shared" si="1"/>
        <v>150000</v>
      </c>
      <c r="K64" s="71"/>
    </row>
    <row r="65" ht="17.25" customHeight="1">
      <c r="A65" s="61"/>
      <c r="B65" s="63" t="b">
        <v>0</v>
      </c>
      <c r="C65" s="64">
        <v>58.0</v>
      </c>
      <c r="D65" s="65">
        <v>45326.0</v>
      </c>
      <c r="E65" s="67" t="s">
        <v>165</v>
      </c>
      <c r="F65" s="67" t="s">
        <v>24</v>
      </c>
      <c r="G65" s="69">
        <f>SUMPRODUCT(('⚙️Pengaturan'!$C$3:$C$100=$F65)*('⚙️Pengaturan'!$D$3:$D$100))</f>
        <v>250000</v>
      </c>
      <c r="H65" s="70" t="s">
        <v>28</v>
      </c>
      <c r="I65" s="69"/>
      <c r="J65" s="69">
        <f t="shared" si="1"/>
        <v>250000</v>
      </c>
      <c r="K65" s="71"/>
    </row>
    <row r="66" ht="17.25" customHeight="1">
      <c r="A66" s="61"/>
      <c r="B66" s="63" t="b">
        <v>0</v>
      </c>
      <c r="C66" s="64">
        <v>59.0</v>
      </c>
      <c r="D66" s="65">
        <v>45326.0</v>
      </c>
      <c r="E66" s="67" t="s">
        <v>167</v>
      </c>
      <c r="F66" s="67" t="s">
        <v>24</v>
      </c>
      <c r="G66" s="69">
        <f>SUMPRODUCT(('⚙️Pengaturan'!$C$3:$C$100=$F66)*('⚙️Pengaturan'!$D$3:$D$100))</f>
        <v>250000</v>
      </c>
      <c r="H66" s="70" t="s">
        <v>28</v>
      </c>
      <c r="I66" s="69"/>
      <c r="J66" s="69">
        <f t="shared" si="1"/>
        <v>250000</v>
      </c>
      <c r="K66" s="71"/>
    </row>
    <row r="67" ht="17.25" customHeight="1">
      <c r="A67" s="61"/>
      <c r="B67" s="63" t="b">
        <v>0</v>
      </c>
      <c r="C67" s="64">
        <v>60.0</v>
      </c>
      <c r="D67" s="65">
        <v>45327.0</v>
      </c>
      <c r="E67" s="67" t="s">
        <v>169</v>
      </c>
      <c r="F67" s="67" t="s">
        <v>24</v>
      </c>
      <c r="G67" s="69">
        <f>SUMPRODUCT(('⚙️Pengaturan'!$C$3:$C$100=$F67)*('⚙️Pengaturan'!$D$3:$D$100))</f>
        <v>250000</v>
      </c>
      <c r="H67" s="70" t="s">
        <v>28</v>
      </c>
      <c r="I67" s="69"/>
      <c r="J67" s="69">
        <f t="shared" si="1"/>
        <v>250000</v>
      </c>
      <c r="K67" s="71"/>
    </row>
    <row r="68" ht="17.25" customHeight="1">
      <c r="A68" s="61"/>
      <c r="B68" s="63" t="b">
        <v>0</v>
      </c>
      <c r="C68" s="64">
        <v>61.0</v>
      </c>
      <c r="D68" s="65">
        <v>45327.0</v>
      </c>
      <c r="E68" s="67" t="s">
        <v>167</v>
      </c>
      <c r="F68" s="67" t="s">
        <v>44</v>
      </c>
      <c r="G68" s="69">
        <f>SUMPRODUCT(('⚙️Pengaturan'!$C$3:$C$100=$F68)*('⚙️Pengaturan'!$D$3:$D$100))</f>
        <v>150000</v>
      </c>
      <c r="H68" s="70" t="s">
        <v>28</v>
      </c>
      <c r="I68" s="69"/>
      <c r="J68" s="69">
        <f t="shared" si="1"/>
        <v>150000</v>
      </c>
      <c r="K68" s="71"/>
    </row>
    <row r="69" ht="17.25" customHeight="1">
      <c r="A69" s="61"/>
      <c r="B69" s="63" t="b">
        <v>0</v>
      </c>
      <c r="C69" s="64">
        <v>62.0</v>
      </c>
      <c r="D69" s="65">
        <v>45327.0</v>
      </c>
      <c r="E69" s="67" t="s">
        <v>173</v>
      </c>
      <c r="F69" s="67" t="s">
        <v>24</v>
      </c>
      <c r="G69" s="69">
        <f>SUMPRODUCT(('⚙️Pengaturan'!$C$3:$C$100=$F69)*('⚙️Pengaturan'!$D$3:$D$100))</f>
        <v>250000</v>
      </c>
      <c r="H69" s="70" t="s">
        <v>28</v>
      </c>
      <c r="I69" s="69"/>
      <c r="J69" s="69">
        <f t="shared" si="1"/>
        <v>250000</v>
      </c>
      <c r="K69" s="71"/>
    </row>
    <row r="70" ht="17.25" customHeight="1">
      <c r="A70" s="61"/>
      <c r="B70" s="63" t="b">
        <v>0</v>
      </c>
      <c r="C70" s="64">
        <v>63.0</v>
      </c>
      <c r="D70" s="65">
        <v>45328.0</v>
      </c>
      <c r="E70" s="154" t="s">
        <v>144</v>
      </c>
      <c r="F70" s="67" t="s">
        <v>44</v>
      </c>
      <c r="G70" s="69">
        <f>SUMPRODUCT(('⚙️Pengaturan'!$C$3:$C$100=$F70)*('⚙️Pengaturan'!$D$3:$D$100))</f>
        <v>150000</v>
      </c>
      <c r="H70" s="70" t="s">
        <v>28</v>
      </c>
      <c r="I70" s="69"/>
      <c r="J70" s="69">
        <f t="shared" si="1"/>
        <v>150000</v>
      </c>
      <c r="K70" s="71"/>
    </row>
    <row r="71" ht="17.25" customHeight="1">
      <c r="A71" s="61"/>
      <c r="B71" s="63" t="b">
        <v>0</v>
      </c>
      <c r="C71" s="64">
        <v>64.0</v>
      </c>
      <c r="D71" s="65">
        <v>45328.0</v>
      </c>
      <c r="E71" s="67" t="s">
        <v>167</v>
      </c>
      <c r="F71" s="67" t="s">
        <v>44</v>
      </c>
      <c r="G71" s="69">
        <f>SUMPRODUCT(('⚙️Pengaturan'!$C$3:$C$100=$F71)*('⚙️Pengaturan'!$D$3:$D$100))</f>
        <v>150000</v>
      </c>
      <c r="H71" s="70" t="s">
        <v>28</v>
      </c>
      <c r="I71" s="69"/>
      <c r="J71" s="69">
        <f t="shared" si="1"/>
        <v>150000</v>
      </c>
      <c r="K71" s="71"/>
    </row>
    <row r="72" ht="17.25" customHeight="1">
      <c r="A72" s="61"/>
      <c r="B72" s="63" t="b">
        <v>0</v>
      </c>
      <c r="C72" s="64">
        <v>65.0</v>
      </c>
      <c r="D72" s="65">
        <v>45328.0</v>
      </c>
      <c r="E72" s="67" t="s">
        <v>181</v>
      </c>
      <c r="F72" s="67" t="s">
        <v>24</v>
      </c>
      <c r="G72" s="69">
        <f>SUMPRODUCT(('⚙️Pengaturan'!$C$3:$C$100=$F72)*('⚙️Pengaturan'!$D$3:$D$100))</f>
        <v>250000</v>
      </c>
      <c r="H72" s="70" t="s">
        <v>28</v>
      </c>
      <c r="I72" s="69"/>
      <c r="J72" s="69">
        <f t="shared" si="1"/>
        <v>250000</v>
      </c>
      <c r="K72" s="71"/>
    </row>
    <row r="73" ht="17.25" customHeight="1">
      <c r="A73" s="61"/>
      <c r="B73" s="63" t="b">
        <v>0</v>
      </c>
      <c r="C73" s="64">
        <v>66.0</v>
      </c>
      <c r="D73" s="65">
        <v>45328.0</v>
      </c>
      <c r="E73" s="67" t="s">
        <v>182</v>
      </c>
      <c r="F73" s="67" t="s">
        <v>24</v>
      </c>
      <c r="G73" s="69">
        <f>SUMPRODUCT(('⚙️Pengaturan'!$C$3:$C$100=$F73)*('⚙️Pengaturan'!$D$3:$D$100))</f>
        <v>250000</v>
      </c>
      <c r="H73" s="70" t="s">
        <v>63</v>
      </c>
      <c r="I73" s="69"/>
      <c r="J73" s="69">
        <f t="shared" si="1"/>
        <v>250000</v>
      </c>
      <c r="K73" s="71"/>
    </row>
    <row r="74" ht="17.25" customHeight="1">
      <c r="A74" s="61"/>
      <c r="B74" s="63" t="b">
        <v>0</v>
      </c>
      <c r="C74" s="64">
        <v>67.0</v>
      </c>
      <c r="D74" s="65">
        <v>45328.0</v>
      </c>
      <c r="E74" s="67" t="s">
        <v>185</v>
      </c>
      <c r="F74" s="67" t="s">
        <v>24</v>
      </c>
      <c r="G74" s="69">
        <f>SUMPRODUCT(('⚙️Pengaturan'!$C$3:$C$100=$F74)*('⚙️Pengaturan'!$D$3:$D$100))</f>
        <v>250000</v>
      </c>
      <c r="H74" s="70" t="s">
        <v>28</v>
      </c>
      <c r="I74" s="69"/>
      <c r="J74" s="69">
        <f t="shared" si="1"/>
        <v>250000</v>
      </c>
      <c r="K74" s="71"/>
    </row>
    <row r="75" ht="17.25" customHeight="1">
      <c r="A75" s="61"/>
      <c r="B75" s="63" t="b">
        <v>0</v>
      </c>
      <c r="C75" s="64">
        <v>68.0</v>
      </c>
      <c r="D75" s="65">
        <v>45329.0</v>
      </c>
      <c r="E75" s="67" t="s">
        <v>186</v>
      </c>
      <c r="F75" s="67" t="s">
        <v>44</v>
      </c>
      <c r="G75" s="69">
        <f>SUMPRODUCT(('⚙️Pengaturan'!$C$3:$C$100=$F75)*('⚙️Pengaturan'!$D$3:$D$100))</f>
        <v>150000</v>
      </c>
      <c r="H75" s="70" t="s">
        <v>28</v>
      </c>
      <c r="I75" s="69"/>
      <c r="J75" s="69">
        <f t="shared" si="1"/>
        <v>150000</v>
      </c>
      <c r="K75" s="71"/>
    </row>
    <row r="76" ht="17.25" customHeight="1">
      <c r="A76" s="61"/>
      <c r="B76" s="63" t="b">
        <v>0</v>
      </c>
      <c r="C76" s="64">
        <v>69.0</v>
      </c>
      <c r="D76" s="65">
        <v>45329.0</v>
      </c>
      <c r="E76" s="67" t="s">
        <v>167</v>
      </c>
      <c r="F76" s="67" t="s">
        <v>44</v>
      </c>
      <c r="G76" s="69">
        <f>SUMPRODUCT(('⚙️Pengaturan'!$C$3:$C$100=$F76)*('⚙️Pengaturan'!$D$3:$D$100))</f>
        <v>150000</v>
      </c>
      <c r="H76" s="70" t="s">
        <v>28</v>
      </c>
      <c r="I76" s="69"/>
      <c r="J76" s="69">
        <f t="shared" si="1"/>
        <v>150000</v>
      </c>
      <c r="K76" s="71"/>
    </row>
    <row r="77" ht="17.25" customHeight="1">
      <c r="A77" s="61"/>
      <c r="B77" s="63" t="b">
        <v>0</v>
      </c>
      <c r="C77" s="64">
        <v>70.0</v>
      </c>
      <c r="D77" s="65">
        <v>45329.0</v>
      </c>
      <c r="E77" s="67" t="s">
        <v>144</v>
      </c>
      <c r="F77" s="67" t="s">
        <v>44</v>
      </c>
      <c r="G77" s="69">
        <f>SUMPRODUCT(('⚙️Pengaturan'!$C$3:$C$100=$F77)*('⚙️Pengaturan'!$D$3:$D$100))</f>
        <v>150000</v>
      </c>
      <c r="H77" s="70" t="s">
        <v>28</v>
      </c>
      <c r="I77" s="69"/>
      <c r="J77" s="69">
        <f t="shared" si="1"/>
        <v>150000</v>
      </c>
      <c r="K77" s="71"/>
    </row>
    <row r="78" ht="17.25" customHeight="1">
      <c r="A78" s="61"/>
      <c r="B78" s="63" t="b">
        <v>0</v>
      </c>
      <c r="C78" s="64">
        <v>71.0</v>
      </c>
      <c r="D78" s="65">
        <v>45329.0</v>
      </c>
      <c r="E78" s="67" t="s">
        <v>159</v>
      </c>
      <c r="F78" s="67" t="s">
        <v>44</v>
      </c>
      <c r="G78" s="69">
        <f>SUMPRODUCT(('⚙️Pengaturan'!$C$3:$C$100=$F78)*('⚙️Pengaturan'!$D$3:$D$100))</f>
        <v>150000</v>
      </c>
      <c r="H78" s="70" t="s">
        <v>28</v>
      </c>
      <c r="I78" s="69"/>
      <c r="J78" s="69">
        <f t="shared" si="1"/>
        <v>150000</v>
      </c>
      <c r="K78" s="71"/>
    </row>
    <row r="79" ht="17.25" customHeight="1">
      <c r="A79" s="61"/>
      <c r="B79" s="63" t="b">
        <v>0</v>
      </c>
      <c r="C79" s="64">
        <v>72.0</v>
      </c>
      <c r="D79" s="65">
        <v>45329.0</v>
      </c>
      <c r="E79" s="67" t="s">
        <v>189</v>
      </c>
      <c r="F79" s="67" t="s">
        <v>44</v>
      </c>
      <c r="G79" s="69">
        <f>SUMPRODUCT(('⚙️Pengaturan'!$C$3:$C$100=$F79)*('⚙️Pengaturan'!$D$3:$D$100))</f>
        <v>150000</v>
      </c>
      <c r="H79" s="70" t="s">
        <v>63</v>
      </c>
      <c r="I79" s="69"/>
      <c r="J79" s="69">
        <f t="shared" si="1"/>
        <v>150000</v>
      </c>
      <c r="K79" s="71"/>
    </row>
    <row r="80" ht="17.25" customHeight="1">
      <c r="A80" s="61"/>
      <c r="B80" s="63" t="b">
        <v>0</v>
      </c>
      <c r="C80" s="64">
        <v>73.0</v>
      </c>
      <c r="D80" s="65">
        <v>45329.0</v>
      </c>
      <c r="E80" s="67" t="s">
        <v>189</v>
      </c>
      <c r="F80" s="67" t="s">
        <v>44</v>
      </c>
      <c r="G80" s="69">
        <f>SUMPRODUCT(('⚙️Pengaturan'!$C$3:$C$100=$F80)*('⚙️Pengaturan'!$D$3:$D$100))</f>
        <v>150000</v>
      </c>
      <c r="H80" s="70" t="s">
        <v>63</v>
      </c>
      <c r="I80" s="69"/>
      <c r="J80" s="69">
        <f t="shared" si="1"/>
        <v>150000</v>
      </c>
      <c r="K80" s="71"/>
    </row>
    <row r="81" ht="17.25" customHeight="1">
      <c r="A81" s="61"/>
      <c r="B81" s="63" t="b">
        <v>0</v>
      </c>
      <c r="C81" s="64">
        <v>74.0</v>
      </c>
      <c r="D81" s="65">
        <v>45333.0</v>
      </c>
      <c r="E81" s="67" t="s">
        <v>159</v>
      </c>
      <c r="F81" s="67" t="s">
        <v>44</v>
      </c>
      <c r="G81" s="69">
        <f>SUMPRODUCT(('⚙️Pengaturan'!$C$3:$C$100=$F81)*('⚙️Pengaturan'!$D$3:$D$100))</f>
        <v>150000</v>
      </c>
      <c r="H81" s="70" t="s">
        <v>28</v>
      </c>
      <c r="I81" s="69"/>
      <c r="J81" s="69">
        <f t="shared" si="1"/>
        <v>150000</v>
      </c>
      <c r="K81" s="71"/>
    </row>
    <row r="82" ht="17.25" customHeight="1">
      <c r="A82" s="61"/>
      <c r="B82" s="63" t="b">
        <v>0</v>
      </c>
      <c r="C82" s="64">
        <v>75.0</v>
      </c>
      <c r="D82" s="65">
        <v>45333.0</v>
      </c>
      <c r="E82" s="67" t="s">
        <v>167</v>
      </c>
      <c r="F82" s="67" t="s">
        <v>44</v>
      </c>
      <c r="G82" s="69">
        <f>SUMPRODUCT(('⚙️Pengaturan'!$C$3:$C$100=$F82)*('⚙️Pengaturan'!$D$3:$D$100))</f>
        <v>150000</v>
      </c>
      <c r="H82" s="70" t="s">
        <v>28</v>
      </c>
      <c r="I82" s="69"/>
      <c r="J82" s="69">
        <f t="shared" si="1"/>
        <v>150000</v>
      </c>
      <c r="K82" s="71"/>
    </row>
    <row r="83" ht="17.25" customHeight="1">
      <c r="A83" s="61"/>
      <c r="B83" s="63" t="b">
        <v>0</v>
      </c>
      <c r="C83" s="64">
        <v>76.0</v>
      </c>
      <c r="D83" s="65">
        <v>45333.0</v>
      </c>
      <c r="E83" s="67" t="s">
        <v>182</v>
      </c>
      <c r="F83" s="67" t="s">
        <v>44</v>
      </c>
      <c r="G83" s="69">
        <f>SUMPRODUCT(('⚙️Pengaturan'!$C$3:$C$100=$F83)*('⚙️Pengaturan'!$D$3:$D$100))</f>
        <v>150000</v>
      </c>
      <c r="H83" s="70" t="s">
        <v>63</v>
      </c>
      <c r="I83" s="69"/>
      <c r="J83" s="69">
        <f t="shared" si="1"/>
        <v>150000</v>
      </c>
      <c r="K83" s="71"/>
    </row>
    <row r="84" ht="17.25" customHeight="1">
      <c r="A84" s="61"/>
      <c r="B84" s="63" t="b">
        <v>0</v>
      </c>
      <c r="C84" s="64">
        <v>77.0</v>
      </c>
      <c r="D84" s="65">
        <v>45333.0</v>
      </c>
      <c r="E84" s="67" t="s">
        <v>142</v>
      </c>
      <c r="F84" s="67" t="s">
        <v>44</v>
      </c>
      <c r="G84" s="69">
        <f>SUMPRODUCT(('⚙️Pengaturan'!$C$3:$C$100=$F84)*('⚙️Pengaturan'!$D$3:$D$100))</f>
        <v>150000</v>
      </c>
      <c r="H84" s="70" t="s">
        <v>28</v>
      </c>
      <c r="I84" s="69"/>
      <c r="J84" s="69">
        <f t="shared" si="1"/>
        <v>150000</v>
      </c>
      <c r="K84" s="71"/>
    </row>
    <row r="85" ht="17.25" customHeight="1">
      <c r="A85" s="61"/>
      <c r="B85" s="63" t="b">
        <v>0</v>
      </c>
      <c r="C85" s="64">
        <v>78.0</v>
      </c>
      <c r="D85" s="65">
        <v>45334.0</v>
      </c>
      <c r="E85" s="67" t="s">
        <v>108</v>
      </c>
      <c r="F85" s="67" t="s">
        <v>53</v>
      </c>
      <c r="G85" s="69">
        <f>SUMPRODUCT(('⚙️Pengaturan'!$C$3:$C$100=$F85)*('⚙️Pengaturan'!$D$3:$D$100))</f>
        <v>650000</v>
      </c>
      <c r="H85" s="70" t="s">
        <v>28</v>
      </c>
      <c r="I85" s="69">
        <v>350000.0</v>
      </c>
      <c r="J85" s="69">
        <f t="shared" si="1"/>
        <v>300000</v>
      </c>
      <c r="K85" s="71"/>
    </row>
    <row r="86" ht="17.25" customHeight="1">
      <c r="A86" s="61"/>
      <c r="B86" s="63" t="b">
        <v>0</v>
      </c>
      <c r="C86" s="64">
        <v>79.0</v>
      </c>
      <c r="D86" s="65">
        <v>45334.0</v>
      </c>
      <c r="E86" s="67" t="s">
        <v>159</v>
      </c>
      <c r="F86" s="67" t="s">
        <v>44</v>
      </c>
      <c r="G86" s="69">
        <f>SUMPRODUCT(('⚙️Pengaturan'!$C$3:$C$100=$F86)*('⚙️Pengaturan'!$D$3:$D$100))</f>
        <v>150000</v>
      </c>
      <c r="H86" s="70" t="s">
        <v>28</v>
      </c>
      <c r="I86" s="69"/>
      <c r="J86" s="69">
        <f t="shared" si="1"/>
        <v>150000</v>
      </c>
      <c r="K86" s="71"/>
    </row>
    <row r="87" ht="17.25" customHeight="1">
      <c r="A87" s="61"/>
      <c r="B87" s="63" t="b">
        <v>0</v>
      </c>
      <c r="C87" s="64">
        <v>80.0</v>
      </c>
      <c r="D87" s="65">
        <v>45334.0</v>
      </c>
      <c r="E87" s="67" t="s">
        <v>199</v>
      </c>
      <c r="F87" s="67" t="s">
        <v>24</v>
      </c>
      <c r="G87" s="69">
        <f>SUMPRODUCT(('⚙️Pengaturan'!$C$3:$C$100=$F87)*('⚙️Pengaturan'!$D$3:$D$100))</f>
        <v>250000</v>
      </c>
      <c r="H87" s="70" t="s">
        <v>63</v>
      </c>
      <c r="I87" s="69"/>
      <c r="J87" s="69">
        <f t="shared" si="1"/>
        <v>250000</v>
      </c>
      <c r="K87" s="71"/>
    </row>
    <row r="88" ht="17.25" customHeight="1">
      <c r="A88" s="61"/>
      <c r="B88" s="63" t="b">
        <v>0</v>
      </c>
      <c r="C88" s="64">
        <v>81.0</v>
      </c>
      <c r="D88" s="65">
        <v>45334.0</v>
      </c>
      <c r="E88" s="67" t="s">
        <v>202</v>
      </c>
      <c r="F88" s="67" t="s">
        <v>24</v>
      </c>
      <c r="G88" s="69">
        <f>SUMPRODUCT(('⚙️Pengaturan'!$C$3:$C$100=$F88)*('⚙️Pengaturan'!$D$3:$D$100))</f>
        <v>250000</v>
      </c>
      <c r="H88" s="70" t="s">
        <v>63</v>
      </c>
      <c r="I88" s="69"/>
      <c r="J88" s="69">
        <f t="shared" si="1"/>
        <v>250000</v>
      </c>
      <c r="K88" s="71"/>
    </row>
    <row r="89" ht="17.25" customHeight="1">
      <c r="A89" s="61"/>
      <c r="B89" s="63" t="b">
        <v>0</v>
      </c>
      <c r="C89" s="64">
        <v>82.0</v>
      </c>
      <c r="D89" s="65">
        <v>45335.0</v>
      </c>
      <c r="E89" s="67" t="s">
        <v>167</v>
      </c>
      <c r="F89" s="67" t="s">
        <v>44</v>
      </c>
      <c r="G89" s="69">
        <f>SUMPRODUCT(('⚙️Pengaturan'!$C$3:$C$100=$F89)*('⚙️Pengaturan'!$D$3:$D$100))</f>
        <v>150000</v>
      </c>
      <c r="H89" s="70" t="s">
        <v>28</v>
      </c>
      <c r="I89" s="69"/>
      <c r="J89" s="69">
        <f t="shared" si="1"/>
        <v>150000</v>
      </c>
      <c r="K89" s="71"/>
    </row>
    <row r="90" ht="17.25" customHeight="1">
      <c r="A90" s="61"/>
      <c r="B90" s="63" t="b">
        <v>0</v>
      </c>
      <c r="C90" s="64">
        <v>83.0</v>
      </c>
      <c r="D90" s="65">
        <v>45335.0</v>
      </c>
      <c r="E90" s="67" t="s">
        <v>159</v>
      </c>
      <c r="F90" s="67" t="s">
        <v>44</v>
      </c>
      <c r="G90" s="69">
        <f>SUMPRODUCT(('⚙️Pengaturan'!$C$3:$C$100=$F90)*('⚙️Pengaturan'!$D$3:$D$100))</f>
        <v>150000</v>
      </c>
      <c r="H90" s="70" t="s">
        <v>28</v>
      </c>
      <c r="I90" s="69"/>
      <c r="J90" s="69">
        <f t="shared" si="1"/>
        <v>150000</v>
      </c>
      <c r="K90" s="71"/>
    </row>
    <row r="91" ht="17.25" customHeight="1">
      <c r="A91" s="61"/>
      <c r="B91" s="63" t="b">
        <v>0</v>
      </c>
      <c r="C91" s="64">
        <v>84.0</v>
      </c>
      <c r="D91" s="65">
        <v>45335.0</v>
      </c>
      <c r="E91" s="67" t="s">
        <v>199</v>
      </c>
      <c r="F91" s="67" t="s">
        <v>44</v>
      </c>
      <c r="G91" s="69">
        <f>SUMPRODUCT(('⚙️Pengaturan'!$C$3:$C$100=$F91)*('⚙️Pengaturan'!$D$3:$D$100))</f>
        <v>150000</v>
      </c>
      <c r="H91" s="70" t="s">
        <v>63</v>
      </c>
      <c r="I91" s="69"/>
      <c r="J91" s="69">
        <f t="shared" si="1"/>
        <v>150000</v>
      </c>
      <c r="K91" s="71"/>
    </row>
    <row r="92" ht="17.25" customHeight="1">
      <c r="A92" s="61"/>
      <c r="B92" s="63" t="b">
        <v>0</v>
      </c>
      <c r="C92" s="64">
        <v>85.0</v>
      </c>
      <c r="D92" s="65">
        <v>45335.0</v>
      </c>
      <c r="E92" s="67" t="s">
        <v>211</v>
      </c>
      <c r="F92" s="67" t="s">
        <v>24</v>
      </c>
      <c r="G92" s="69">
        <f>SUMPRODUCT(('⚙️Pengaturan'!$C$3:$C$100=$F92)*('⚙️Pengaturan'!$D$3:$D$100))</f>
        <v>250000</v>
      </c>
      <c r="H92" s="70" t="s">
        <v>28</v>
      </c>
      <c r="I92" s="69"/>
      <c r="J92" s="69">
        <f t="shared" si="1"/>
        <v>250000</v>
      </c>
      <c r="K92" s="71"/>
    </row>
    <row r="93" ht="17.25" customHeight="1">
      <c r="A93" s="61"/>
      <c r="B93" s="63" t="b">
        <v>0</v>
      </c>
      <c r="C93" s="64">
        <v>86.0</v>
      </c>
      <c r="D93" s="65">
        <v>45337.0</v>
      </c>
      <c r="E93" s="67" t="s">
        <v>216</v>
      </c>
      <c r="F93" s="67" t="s">
        <v>24</v>
      </c>
      <c r="G93" s="69">
        <f>SUMPRODUCT(('⚙️Pengaturan'!$C$3:$C$100=$F93)*('⚙️Pengaturan'!$D$3:$D$100))</f>
        <v>250000</v>
      </c>
      <c r="H93" s="70" t="s">
        <v>28</v>
      </c>
      <c r="I93" s="69"/>
      <c r="J93" s="69">
        <f t="shared" si="1"/>
        <v>250000</v>
      </c>
      <c r="K93" s="71"/>
    </row>
    <row r="94" ht="17.25" customHeight="1">
      <c r="A94" s="61"/>
      <c r="B94" s="63" t="b">
        <v>0</v>
      </c>
      <c r="C94" s="64">
        <v>87.0</v>
      </c>
      <c r="D94" s="65">
        <v>45337.0</v>
      </c>
      <c r="E94" s="67" t="s">
        <v>167</v>
      </c>
      <c r="F94" s="67" t="s">
        <v>44</v>
      </c>
      <c r="G94" s="69">
        <f>SUMPRODUCT(('⚙️Pengaturan'!$C$3:$C$100=$F94)*('⚙️Pengaturan'!$D$3:$D$100))</f>
        <v>150000</v>
      </c>
      <c r="H94" s="70" t="s">
        <v>28</v>
      </c>
      <c r="I94" s="69"/>
      <c r="J94" s="69">
        <f t="shared" si="1"/>
        <v>150000</v>
      </c>
      <c r="K94" s="71"/>
    </row>
    <row r="95" ht="17.25" customHeight="1">
      <c r="A95" s="61"/>
      <c r="B95" s="63" t="b">
        <v>0</v>
      </c>
      <c r="C95" s="64">
        <v>88.0</v>
      </c>
      <c r="D95" s="65">
        <v>45337.0</v>
      </c>
      <c r="E95" s="67" t="s">
        <v>218</v>
      </c>
      <c r="F95" s="67" t="s">
        <v>24</v>
      </c>
      <c r="G95" s="69">
        <f>SUMPRODUCT(('⚙️Pengaturan'!$C$3:$C$100=$F95)*('⚙️Pengaturan'!$D$3:$D$100))</f>
        <v>250000</v>
      </c>
      <c r="H95" s="70" t="s">
        <v>28</v>
      </c>
      <c r="I95" s="69"/>
      <c r="J95" s="69">
        <f t="shared" si="1"/>
        <v>250000</v>
      </c>
      <c r="K95" s="71"/>
    </row>
    <row r="96" ht="17.25" customHeight="1">
      <c r="A96" s="61"/>
      <c r="B96" s="63" t="b">
        <v>0</v>
      </c>
      <c r="C96" s="64">
        <v>89.0</v>
      </c>
      <c r="D96" s="65">
        <v>45339.0</v>
      </c>
      <c r="E96" s="67" t="s">
        <v>108</v>
      </c>
      <c r="F96" s="67" t="s">
        <v>53</v>
      </c>
      <c r="G96" s="69">
        <f>SUMPRODUCT(('⚙️Pengaturan'!$C$3:$C$100=$F96)*('⚙️Pengaturan'!$D$3:$D$100))</f>
        <v>650000</v>
      </c>
      <c r="H96" s="70" t="s">
        <v>28</v>
      </c>
      <c r="I96" s="69">
        <v>300000.0</v>
      </c>
      <c r="J96" s="69">
        <f t="shared" si="1"/>
        <v>350000</v>
      </c>
      <c r="K96" s="71"/>
    </row>
    <row r="97" ht="17.25" customHeight="1">
      <c r="A97" s="61"/>
      <c r="B97" s="63" t="b">
        <v>0</v>
      </c>
      <c r="C97" s="64">
        <v>90.0</v>
      </c>
      <c r="D97" s="65">
        <v>45339.0</v>
      </c>
      <c r="E97" s="67" t="s">
        <v>167</v>
      </c>
      <c r="F97" s="67" t="s">
        <v>44</v>
      </c>
      <c r="G97" s="69">
        <f>SUMPRODUCT(('⚙️Pengaturan'!$C$3:$C$100=$F97)*('⚙️Pengaturan'!$D$3:$D$100))</f>
        <v>150000</v>
      </c>
      <c r="H97" s="70" t="s">
        <v>28</v>
      </c>
      <c r="I97" s="69"/>
      <c r="J97" s="69">
        <f t="shared" si="1"/>
        <v>150000</v>
      </c>
      <c r="K97" s="71"/>
    </row>
    <row r="98" ht="17.25" customHeight="1">
      <c r="A98" s="61"/>
      <c r="B98" s="63" t="b">
        <v>0</v>
      </c>
      <c r="C98" s="64">
        <v>91.0</v>
      </c>
      <c r="D98" s="65">
        <v>45339.0</v>
      </c>
      <c r="E98" s="67" t="s">
        <v>223</v>
      </c>
      <c r="F98" s="67" t="s">
        <v>24</v>
      </c>
      <c r="G98" s="69">
        <f>SUMPRODUCT(('⚙️Pengaturan'!$C$3:$C$100=$F98)*('⚙️Pengaturan'!$D$3:$D$100))</f>
        <v>250000</v>
      </c>
      <c r="H98" s="70" t="s">
        <v>28</v>
      </c>
      <c r="I98" s="69"/>
      <c r="J98" s="69">
        <f t="shared" si="1"/>
        <v>250000</v>
      </c>
      <c r="K98" s="71"/>
    </row>
    <row r="99" ht="17.25" customHeight="1">
      <c r="A99" s="61"/>
      <c r="B99" s="63" t="b">
        <v>0</v>
      </c>
      <c r="C99" s="64">
        <v>92.0</v>
      </c>
      <c r="D99" s="65">
        <v>45339.0</v>
      </c>
      <c r="E99" s="67" t="s">
        <v>225</v>
      </c>
      <c r="F99" s="67" t="s">
        <v>24</v>
      </c>
      <c r="G99" s="69">
        <f>SUMPRODUCT(('⚙️Pengaturan'!$C$3:$C$100=$F99)*('⚙️Pengaturan'!$D$3:$D$100))</f>
        <v>250000</v>
      </c>
      <c r="H99" s="70" t="s">
        <v>28</v>
      </c>
      <c r="I99" s="69"/>
      <c r="J99" s="69">
        <f t="shared" si="1"/>
        <v>250000</v>
      </c>
      <c r="K99" s="71"/>
    </row>
    <row r="100" ht="17.25" customHeight="1">
      <c r="A100" s="61"/>
      <c r="B100" s="63" t="b">
        <v>0</v>
      </c>
      <c r="C100" s="64">
        <v>93.0</v>
      </c>
      <c r="D100" s="65">
        <v>45339.0</v>
      </c>
      <c r="E100" s="67" t="s">
        <v>227</v>
      </c>
      <c r="F100" s="67" t="s">
        <v>44</v>
      </c>
      <c r="G100" s="69">
        <f>SUMPRODUCT(('⚙️Pengaturan'!$C$3:$C$100=$F100)*('⚙️Pengaturan'!$D$3:$D$100))</f>
        <v>150000</v>
      </c>
      <c r="H100" s="70" t="s">
        <v>28</v>
      </c>
      <c r="I100" s="69"/>
      <c r="J100" s="69">
        <f t="shared" si="1"/>
        <v>150000</v>
      </c>
      <c r="K100" s="71"/>
    </row>
    <row r="101" ht="17.25" customHeight="1">
      <c r="A101" s="61"/>
      <c r="B101" s="63" t="b">
        <v>0</v>
      </c>
      <c r="C101" s="64">
        <v>94.0</v>
      </c>
      <c r="D101" s="65">
        <v>45339.0</v>
      </c>
      <c r="E101" s="67" t="s">
        <v>159</v>
      </c>
      <c r="F101" s="67" t="s">
        <v>53</v>
      </c>
      <c r="G101" s="69">
        <f>SUMPRODUCT(('⚙️Pengaturan'!$C$3:$C$100=$F101)*('⚙️Pengaturan'!$D$3:$D$100))</f>
        <v>650000</v>
      </c>
      <c r="H101" s="70" t="s">
        <v>28</v>
      </c>
      <c r="I101" s="69"/>
      <c r="J101" s="69">
        <f t="shared" si="1"/>
        <v>650000</v>
      </c>
      <c r="K101" s="71"/>
    </row>
    <row r="102" ht="17.25" customHeight="1">
      <c r="A102" s="61"/>
      <c r="B102" s="63" t="b">
        <v>0</v>
      </c>
      <c r="C102" s="64">
        <v>95.0</v>
      </c>
      <c r="D102" s="65">
        <v>45340.0</v>
      </c>
      <c r="E102" s="67" t="s">
        <v>182</v>
      </c>
      <c r="F102" s="67" t="s">
        <v>44</v>
      </c>
      <c r="G102" s="69">
        <f>SUMPRODUCT(('⚙️Pengaturan'!$C$3:$C$100=$F102)*('⚙️Pengaturan'!$D$3:$D$100))</f>
        <v>150000</v>
      </c>
      <c r="H102" s="70" t="s">
        <v>63</v>
      </c>
      <c r="I102" s="69"/>
      <c r="J102" s="69">
        <f t="shared" si="1"/>
        <v>150000</v>
      </c>
      <c r="K102" s="71"/>
    </row>
    <row r="103" ht="17.25" customHeight="1">
      <c r="A103" s="61"/>
      <c r="B103" s="63" t="b">
        <v>0</v>
      </c>
      <c r="C103" s="64">
        <v>96.0</v>
      </c>
      <c r="D103" s="65">
        <v>45340.0</v>
      </c>
      <c r="E103" s="67" t="s">
        <v>167</v>
      </c>
      <c r="F103" s="67" t="s">
        <v>44</v>
      </c>
      <c r="G103" s="69">
        <f>SUMPRODUCT(('⚙️Pengaturan'!$C$3:$C$100=$F103)*('⚙️Pengaturan'!$D$3:$D$100))</f>
        <v>150000</v>
      </c>
      <c r="H103" s="70" t="s">
        <v>28</v>
      </c>
      <c r="I103" s="69"/>
      <c r="J103" s="69">
        <f t="shared" si="1"/>
        <v>150000</v>
      </c>
      <c r="K103" s="71"/>
    </row>
    <row r="104" ht="17.25" customHeight="1">
      <c r="A104" s="61"/>
      <c r="B104" s="63" t="b">
        <v>0</v>
      </c>
      <c r="C104" s="64">
        <v>97.0</v>
      </c>
      <c r="D104" s="65">
        <v>45340.0</v>
      </c>
      <c r="E104" s="67" t="s">
        <v>218</v>
      </c>
      <c r="F104" s="67" t="s">
        <v>44</v>
      </c>
      <c r="G104" s="69">
        <f>SUMPRODUCT(('⚙️Pengaturan'!$C$3:$C$100=$F104)*('⚙️Pengaturan'!$D$3:$D$100))</f>
        <v>150000</v>
      </c>
      <c r="H104" s="70" t="s">
        <v>28</v>
      </c>
      <c r="I104" s="69"/>
      <c r="J104" s="69">
        <f t="shared" si="1"/>
        <v>150000</v>
      </c>
      <c r="K104" s="71"/>
    </row>
    <row r="105" ht="17.25" customHeight="1">
      <c r="A105" s="61"/>
      <c r="B105" s="63" t="b">
        <v>0</v>
      </c>
      <c r="C105" s="64">
        <v>98.0</v>
      </c>
      <c r="D105" s="65">
        <v>45340.0</v>
      </c>
      <c r="E105" s="67" t="s">
        <v>232</v>
      </c>
      <c r="F105" s="67" t="s">
        <v>44</v>
      </c>
      <c r="G105" s="69">
        <f>SUMPRODUCT(('⚙️Pengaturan'!$C$3:$C$100=$F105)*('⚙️Pengaturan'!$D$3:$D$100))</f>
        <v>150000</v>
      </c>
      <c r="H105" s="70" t="s">
        <v>28</v>
      </c>
      <c r="I105" s="69"/>
      <c r="J105" s="69">
        <f t="shared" si="1"/>
        <v>150000</v>
      </c>
      <c r="K105" s="71"/>
    </row>
    <row r="106" ht="17.25" customHeight="1">
      <c r="A106" s="61"/>
      <c r="B106" s="63" t="b">
        <v>0</v>
      </c>
      <c r="C106" s="64">
        <v>99.0</v>
      </c>
      <c r="D106" s="65">
        <v>45341.0</v>
      </c>
      <c r="E106" s="67" t="s">
        <v>225</v>
      </c>
      <c r="F106" s="67" t="s">
        <v>53</v>
      </c>
      <c r="G106" s="69">
        <f>SUMPRODUCT(('⚙️Pengaturan'!$C$3:$C$100=$F106)*('⚙️Pengaturan'!$D$3:$D$100))</f>
        <v>650000</v>
      </c>
      <c r="H106" s="70" t="s">
        <v>28</v>
      </c>
      <c r="I106" s="69"/>
      <c r="J106" s="69">
        <f t="shared" si="1"/>
        <v>650000</v>
      </c>
      <c r="K106" s="71"/>
    </row>
    <row r="107" ht="17.25" customHeight="1">
      <c r="A107" s="61"/>
      <c r="B107" s="63" t="b">
        <v>0</v>
      </c>
      <c r="C107" s="64">
        <v>100.0</v>
      </c>
      <c r="D107" s="65">
        <v>45342.0</v>
      </c>
      <c r="E107" s="67" t="s">
        <v>202</v>
      </c>
      <c r="F107" s="67" t="s">
        <v>53</v>
      </c>
      <c r="G107" s="69">
        <f>SUMPRODUCT(('⚙️Pengaturan'!$C$3:$C$100=$F107)*('⚙️Pengaturan'!$D$3:$D$100))</f>
        <v>650000</v>
      </c>
      <c r="H107" s="70" t="s">
        <v>63</v>
      </c>
      <c r="I107" s="69">
        <v>450000.0</v>
      </c>
      <c r="J107" s="69">
        <f t="shared" si="1"/>
        <v>200000</v>
      </c>
      <c r="K107" s="71"/>
    </row>
    <row r="108" ht="17.25" customHeight="1">
      <c r="A108" s="61"/>
      <c r="B108" s="63" t="b">
        <v>0</v>
      </c>
      <c r="C108" s="64">
        <v>101.0</v>
      </c>
      <c r="D108" s="65">
        <v>45342.0</v>
      </c>
      <c r="E108" s="67" t="s">
        <v>199</v>
      </c>
      <c r="F108" s="67" t="s">
        <v>67</v>
      </c>
      <c r="G108" s="69">
        <f>SUMPRODUCT(('⚙️Pengaturan'!$C$3:$C$100=$F108)*('⚙️Pengaturan'!$D$3:$D$100))</f>
        <v>1200000</v>
      </c>
      <c r="H108" s="70" t="s">
        <v>63</v>
      </c>
      <c r="I108" s="69">
        <v>200000.0</v>
      </c>
      <c r="J108" s="69">
        <f t="shared" si="1"/>
        <v>1000000</v>
      </c>
      <c r="K108" s="71"/>
    </row>
    <row r="109" ht="17.25" customHeight="1">
      <c r="A109" s="61"/>
      <c r="B109" s="63" t="b">
        <v>0</v>
      </c>
      <c r="C109" s="64">
        <v>102.0</v>
      </c>
      <c r="D109" s="65">
        <v>45342.0</v>
      </c>
      <c r="E109" s="67" t="s">
        <v>216</v>
      </c>
      <c r="F109" s="67" t="s">
        <v>44</v>
      </c>
      <c r="G109" s="69">
        <f>SUMPRODUCT(('⚙️Pengaturan'!$C$3:$C$100=$F109)*('⚙️Pengaturan'!$D$3:$D$100))</f>
        <v>150000</v>
      </c>
      <c r="H109" s="70" t="s">
        <v>28</v>
      </c>
      <c r="I109" s="69"/>
      <c r="J109" s="69">
        <f t="shared" si="1"/>
        <v>150000</v>
      </c>
      <c r="K109" s="71"/>
    </row>
    <row r="110" ht="17.25" customHeight="1">
      <c r="A110" s="61"/>
      <c r="B110" s="63" t="b">
        <v>0</v>
      </c>
      <c r="C110" s="64">
        <v>103.0</v>
      </c>
      <c r="D110" s="65">
        <v>45344.0</v>
      </c>
      <c r="E110" s="67" t="s">
        <v>159</v>
      </c>
      <c r="F110" s="67" t="s">
        <v>53</v>
      </c>
      <c r="G110" s="69">
        <f>SUMPRODUCT(('⚙️Pengaturan'!$C$3:$C$100=$F110)*('⚙️Pengaturan'!$D$3:$D$100))</f>
        <v>650000</v>
      </c>
      <c r="H110" s="70" t="s">
        <v>28</v>
      </c>
      <c r="I110" s="69"/>
      <c r="J110" s="69">
        <f t="shared" si="1"/>
        <v>650000</v>
      </c>
      <c r="K110" s="71"/>
    </row>
    <row r="111" ht="17.25" customHeight="1">
      <c r="A111" s="61"/>
      <c r="B111" s="63" t="b">
        <v>0</v>
      </c>
      <c r="C111" s="64">
        <v>104.0</v>
      </c>
      <c r="D111" s="65">
        <v>45344.0</v>
      </c>
      <c r="E111" s="67" t="s">
        <v>202</v>
      </c>
      <c r="F111" s="67" t="s">
        <v>53</v>
      </c>
      <c r="G111" s="69">
        <f>SUMPRODUCT(('⚙️Pengaturan'!$C$3:$C$100=$F111)*('⚙️Pengaturan'!$D$3:$D$100))</f>
        <v>650000</v>
      </c>
      <c r="H111" s="70" t="s">
        <v>28</v>
      </c>
      <c r="I111" s="69">
        <v>200000.0</v>
      </c>
      <c r="J111" s="69">
        <f t="shared" si="1"/>
        <v>450000</v>
      </c>
      <c r="K111" s="71"/>
    </row>
    <row r="112" ht="17.25" customHeight="1">
      <c r="A112" s="61"/>
      <c r="B112" s="63" t="b">
        <v>0</v>
      </c>
      <c r="C112" s="64">
        <v>105.0</v>
      </c>
      <c r="D112" s="65">
        <v>45344.0</v>
      </c>
      <c r="E112" s="67" t="s">
        <v>199</v>
      </c>
      <c r="F112" s="67" t="s">
        <v>67</v>
      </c>
      <c r="G112" s="69">
        <f>SUMPRODUCT(('⚙️Pengaturan'!$C$3:$C$100=$F112)*('⚙️Pengaturan'!$D$3:$D$100))</f>
        <v>1200000</v>
      </c>
      <c r="H112" s="70" t="s">
        <v>28</v>
      </c>
      <c r="I112" s="69">
        <v>1000000.0</v>
      </c>
      <c r="J112" s="69">
        <f t="shared" si="1"/>
        <v>200000</v>
      </c>
      <c r="K112" s="71"/>
    </row>
    <row r="113" ht="17.25" customHeight="1">
      <c r="A113" s="61"/>
      <c r="B113" s="63" t="b">
        <v>0</v>
      </c>
      <c r="C113" s="64">
        <v>106.0</v>
      </c>
      <c r="D113" s="65">
        <v>45346.0</v>
      </c>
      <c r="E113" s="67" t="s">
        <v>240</v>
      </c>
      <c r="F113" s="67" t="s">
        <v>24</v>
      </c>
      <c r="G113" s="69">
        <f>SUMPRODUCT(('⚙️Pengaturan'!$C$3:$C$100=$F113)*('⚙️Pengaturan'!$D$3:$D$100))</f>
        <v>250000</v>
      </c>
      <c r="H113" s="70" t="s">
        <v>28</v>
      </c>
      <c r="I113" s="69"/>
      <c r="J113" s="69">
        <f t="shared" si="1"/>
        <v>250000</v>
      </c>
      <c r="K113" s="71"/>
    </row>
    <row r="114" ht="17.25" customHeight="1">
      <c r="A114" s="61"/>
      <c r="B114" s="63" t="b">
        <v>0</v>
      </c>
      <c r="C114" s="64">
        <v>107.0</v>
      </c>
      <c r="D114" s="65">
        <v>45346.0</v>
      </c>
      <c r="E114" s="67" t="s">
        <v>243</v>
      </c>
      <c r="F114" s="67" t="s">
        <v>24</v>
      </c>
      <c r="G114" s="69">
        <f>SUMPRODUCT(('⚙️Pengaturan'!$C$3:$C$100=$F114)*('⚙️Pengaturan'!$D$3:$D$100))</f>
        <v>250000</v>
      </c>
      <c r="H114" s="70" t="s">
        <v>28</v>
      </c>
      <c r="I114" s="69"/>
      <c r="J114" s="69">
        <f t="shared" si="1"/>
        <v>250000</v>
      </c>
      <c r="K114" s="71"/>
    </row>
    <row r="115" ht="17.25" customHeight="1">
      <c r="A115" s="61"/>
      <c r="B115" s="63" t="b">
        <v>0</v>
      </c>
      <c r="C115" s="64">
        <v>108.0</v>
      </c>
      <c r="D115" s="65">
        <v>45346.0</v>
      </c>
      <c r="E115" s="67" t="s">
        <v>243</v>
      </c>
      <c r="F115" s="67" t="s">
        <v>53</v>
      </c>
      <c r="G115" s="69">
        <f>SUMPRODUCT(('⚙️Pengaturan'!$C$3:$C$100=$F115)*('⚙️Pengaturan'!$D$3:$D$100))</f>
        <v>650000</v>
      </c>
      <c r="H115" s="70" t="s">
        <v>28</v>
      </c>
      <c r="I115" s="69">
        <v>350000.0</v>
      </c>
      <c r="J115" s="69">
        <f t="shared" si="1"/>
        <v>300000</v>
      </c>
      <c r="K115" s="71"/>
    </row>
    <row r="116" ht="17.25" customHeight="1">
      <c r="A116" s="61"/>
      <c r="B116" s="63" t="b">
        <v>0</v>
      </c>
      <c r="C116" s="64">
        <v>109.0</v>
      </c>
      <c r="D116" s="65">
        <v>45348.0</v>
      </c>
      <c r="E116" s="67" t="s">
        <v>246</v>
      </c>
      <c r="F116" s="67" t="s">
        <v>24</v>
      </c>
      <c r="G116" s="69">
        <f>SUMPRODUCT(('⚙️Pengaturan'!$C$3:$C$100=$F116)*('⚙️Pengaturan'!$D$3:$D$100))</f>
        <v>250000</v>
      </c>
      <c r="H116" s="70" t="s">
        <v>28</v>
      </c>
      <c r="I116" s="69"/>
      <c r="J116" s="69">
        <f t="shared" si="1"/>
        <v>250000</v>
      </c>
      <c r="K116" s="71"/>
    </row>
    <row r="117" ht="17.25" customHeight="1">
      <c r="A117" s="61"/>
      <c r="B117" s="63" t="b">
        <v>0</v>
      </c>
      <c r="C117" s="64">
        <v>110.0</v>
      </c>
      <c r="D117" s="65">
        <v>45349.0</v>
      </c>
      <c r="E117" s="67" t="s">
        <v>223</v>
      </c>
      <c r="F117" s="67" t="s">
        <v>44</v>
      </c>
      <c r="G117" s="69">
        <f>SUMPRODUCT(('⚙️Pengaturan'!$C$3:$C$100=$F117)*('⚙️Pengaturan'!$D$3:$D$100))</f>
        <v>150000</v>
      </c>
      <c r="H117" s="70" t="s">
        <v>28</v>
      </c>
      <c r="I117" s="69"/>
      <c r="J117" s="69">
        <f t="shared" si="1"/>
        <v>150000</v>
      </c>
      <c r="K117" s="71"/>
    </row>
    <row r="118" ht="17.25" customHeight="1">
      <c r="A118" s="61"/>
      <c r="B118" s="63" t="b">
        <v>0</v>
      </c>
      <c r="C118" s="64">
        <v>111.0</v>
      </c>
      <c r="D118" s="65">
        <v>45351.0</v>
      </c>
      <c r="E118" s="67" t="s">
        <v>246</v>
      </c>
      <c r="F118" s="67" t="s">
        <v>44</v>
      </c>
      <c r="G118" s="69">
        <f>SUMPRODUCT(('⚙️Pengaturan'!$C$3:$C$100=$F118)*('⚙️Pengaturan'!$D$3:$D$100))</f>
        <v>150000</v>
      </c>
      <c r="H118" s="70" t="s">
        <v>28</v>
      </c>
      <c r="I118" s="69"/>
      <c r="J118" s="69">
        <f t="shared" si="1"/>
        <v>150000</v>
      </c>
      <c r="K118" s="71"/>
    </row>
    <row r="119" ht="17.25" customHeight="1">
      <c r="A119" s="61"/>
      <c r="B119" s="63" t="b">
        <v>0</v>
      </c>
      <c r="C119" s="64">
        <v>112.0</v>
      </c>
      <c r="D119" s="65">
        <v>45353.0</v>
      </c>
      <c r="E119" s="67" t="s">
        <v>189</v>
      </c>
      <c r="F119" s="67" t="s">
        <v>67</v>
      </c>
      <c r="G119" s="69">
        <f>SUMPRODUCT(('⚙️Pengaturan'!$C$3:$C$100=$F119)*('⚙️Pengaturan'!$D$3:$D$100))</f>
        <v>1200000</v>
      </c>
      <c r="H119" s="70" t="s">
        <v>63</v>
      </c>
      <c r="I119" s="69"/>
      <c r="J119" s="69">
        <f t="shared" si="1"/>
        <v>1200000</v>
      </c>
      <c r="K119" s="71"/>
    </row>
    <row r="120" ht="17.25" customHeight="1">
      <c r="A120" s="61"/>
      <c r="B120" s="63" t="b">
        <v>0</v>
      </c>
      <c r="C120" s="64">
        <v>113.0</v>
      </c>
      <c r="D120" s="65">
        <v>45353.0</v>
      </c>
      <c r="E120" s="67" t="s">
        <v>225</v>
      </c>
      <c r="F120" s="67" t="s">
        <v>53</v>
      </c>
      <c r="G120" s="69">
        <f>SUMPRODUCT(('⚙️Pengaturan'!$C$3:$C$100=$F120)*('⚙️Pengaturan'!$D$3:$D$100))</f>
        <v>650000</v>
      </c>
      <c r="H120" s="70" t="s">
        <v>28</v>
      </c>
      <c r="I120" s="69"/>
      <c r="J120" s="69">
        <f t="shared" si="1"/>
        <v>650000</v>
      </c>
      <c r="K120" s="71"/>
    </row>
    <row r="121" ht="17.25" customHeight="1">
      <c r="A121" s="61"/>
      <c r="B121" s="63" t="b">
        <v>0</v>
      </c>
      <c r="C121" s="64">
        <v>114.0</v>
      </c>
      <c r="D121" s="65">
        <v>45353.0</v>
      </c>
      <c r="E121" s="67" t="s">
        <v>251</v>
      </c>
      <c r="F121" s="67" t="s">
        <v>24</v>
      </c>
      <c r="G121" s="69">
        <f>SUMPRODUCT(('⚙️Pengaturan'!$C$3:$C$100=$F121)*('⚙️Pengaturan'!$D$3:$D$100))</f>
        <v>250000</v>
      </c>
      <c r="H121" s="70" t="s">
        <v>28</v>
      </c>
      <c r="I121" s="69"/>
      <c r="J121" s="69">
        <f t="shared" si="1"/>
        <v>250000</v>
      </c>
      <c r="K121" s="71"/>
    </row>
    <row r="122" ht="17.25" customHeight="1">
      <c r="A122" s="61"/>
      <c r="B122" s="63" t="b">
        <v>0</v>
      </c>
      <c r="C122" s="64">
        <v>115.0</v>
      </c>
      <c r="D122" s="65">
        <v>45354.0</v>
      </c>
      <c r="E122" s="67" t="s">
        <v>104</v>
      </c>
      <c r="F122" s="67" t="s">
        <v>67</v>
      </c>
      <c r="G122" s="69">
        <f>SUMPRODUCT(('⚙️Pengaturan'!$C$3:$C$100=$F122)*('⚙️Pengaturan'!$D$3:$D$100))</f>
        <v>1200000</v>
      </c>
      <c r="H122" s="70" t="s">
        <v>28</v>
      </c>
      <c r="I122" s="69">
        <v>600000.0</v>
      </c>
      <c r="J122" s="69">
        <f t="shared" si="1"/>
        <v>600000</v>
      </c>
      <c r="K122" s="71"/>
    </row>
    <row r="123" ht="17.25" customHeight="1">
      <c r="A123" s="61"/>
      <c r="B123" s="63" t="b">
        <v>0</v>
      </c>
      <c r="C123" s="64">
        <v>116.0</v>
      </c>
      <c r="D123" s="65">
        <v>45354.0</v>
      </c>
      <c r="E123" s="67" t="s">
        <v>255</v>
      </c>
      <c r="F123" s="67" t="s">
        <v>24</v>
      </c>
      <c r="G123" s="69">
        <f>SUMPRODUCT(('⚙️Pengaturan'!$C$3:$C$100=$F123)*('⚙️Pengaturan'!$D$3:$D$100))</f>
        <v>250000</v>
      </c>
      <c r="H123" s="70" t="s">
        <v>28</v>
      </c>
      <c r="I123" s="69"/>
      <c r="J123" s="69">
        <f t="shared" si="1"/>
        <v>250000</v>
      </c>
      <c r="K123" s="71"/>
    </row>
    <row r="124" ht="17.25" customHeight="1">
      <c r="A124" s="61"/>
      <c r="B124" s="63" t="b">
        <v>0</v>
      </c>
      <c r="C124" s="64">
        <v>117.0</v>
      </c>
      <c r="D124" s="65">
        <v>45354.0</v>
      </c>
      <c r="E124" s="67" t="s">
        <v>255</v>
      </c>
      <c r="F124" s="67" t="s">
        <v>53</v>
      </c>
      <c r="G124" s="69">
        <f>SUMPRODUCT(('⚙️Pengaturan'!$C$3:$C$100=$F124)*('⚙️Pengaturan'!$D$3:$D$100))</f>
        <v>650000</v>
      </c>
      <c r="H124" s="70" t="s">
        <v>28</v>
      </c>
      <c r="I124" s="69">
        <v>400000.0</v>
      </c>
      <c r="J124" s="69">
        <f t="shared" si="1"/>
        <v>250000</v>
      </c>
      <c r="K124" s="71"/>
    </row>
    <row r="125" ht="17.25" customHeight="1">
      <c r="A125" s="61"/>
      <c r="B125" s="63" t="b">
        <v>0</v>
      </c>
      <c r="C125" s="64">
        <v>118.0</v>
      </c>
      <c r="D125" s="65">
        <v>45355.0</v>
      </c>
      <c r="E125" s="67" t="s">
        <v>258</v>
      </c>
      <c r="F125" s="67" t="s">
        <v>24</v>
      </c>
      <c r="G125" s="69">
        <f>SUMPRODUCT(('⚙️Pengaturan'!$C$3:$C$100=$F125)*('⚙️Pengaturan'!$D$3:$D$100))</f>
        <v>250000</v>
      </c>
      <c r="H125" s="70" t="s">
        <v>28</v>
      </c>
      <c r="I125" s="69"/>
      <c r="J125" s="69">
        <f t="shared" si="1"/>
        <v>250000</v>
      </c>
      <c r="K125" s="71"/>
    </row>
    <row r="126" ht="17.25" customHeight="1">
      <c r="A126" s="61"/>
      <c r="B126" s="63" t="b">
        <v>0</v>
      </c>
      <c r="C126" s="64">
        <v>119.0</v>
      </c>
      <c r="D126" s="65">
        <v>45357.0</v>
      </c>
      <c r="E126" s="67" t="s">
        <v>261</v>
      </c>
      <c r="F126" s="67" t="s">
        <v>53</v>
      </c>
      <c r="G126" s="69">
        <f>SUMPRODUCT(('⚙️Pengaturan'!$C$3:$C$100=$F126)*('⚙️Pengaturan'!$D$3:$D$100))</f>
        <v>650000</v>
      </c>
      <c r="H126" s="70" t="s">
        <v>28</v>
      </c>
      <c r="I126" s="69"/>
      <c r="J126" s="69">
        <f t="shared" si="1"/>
        <v>650000</v>
      </c>
      <c r="K126" s="71"/>
    </row>
    <row r="127" ht="17.25" customHeight="1">
      <c r="A127" s="61"/>
      <c r="B127" s="63" t="b">
        <v>0</v>
      </c>
      <c r="C127" s="64">
        <v>120.0</v>
      </c>
      <c r="D127" s="65">
        <v>45357.0</v>
      </c>
      <c r="E127" s="67" t="s">
        <v>262</v>
      </c>
      <c r="F127" s="67" t="s">
        <v>53</v>
      </c>
      <c r="G127" s="69">
        <f>SUMPRODUCT(('⚙️Pengaturan'!$C$3:$C$100=$F127)*('⚙️Pengaturan'!$D$3:$D$100))</f>
        <v>650000</v>
      </c>
      <c r="H127" s="70" t="s">
        <v>28</v>
      </c>
      <c r="I127" s="69">
        <v>300000.0</v>
      </c>
      <c r="J127" s="69">
        <f t="shared" si="1"/>
        <v>350000</v>
      </c>
      <c r="K127" s="71"/>
    </row>
    <row r="128" ht="17.25" customHeight="1">
      <c r="A128" s="61"/>
      <c r="B128" s="63" t="b">
        <v>0</v>
      </c>
      <c r="C128" s="64">
        <v>121.0</v>
      </c>
      <c r="D128" s="65">
        <v>45357.0</v>
      </c>
      <c r="E128" s="67" t="s">
        <v>264</v>
      </c>
      <c r="F128" s="67" t="s">
        <v>53</v>
      </c>
      <c r="G128" s="69">
        <f>SUMPRODUCT(('⚙️Pengaturan'!$C$3:$C$100=$F128)*('⚙️Pengaturan'!$D$3:$D$100))</f>
        <v>650000</v>
      </c>
      <c r="H128" s="70" t="s">
        <v>28</v>
      </c>
      <c r="I128" s="69">
        <v>250000.0</v>
      </c>
      <c r="J128" s="69">
        <f t="shared" si="1"/>
        <v>400000</v>
      </c>
      <c r="K128" s="71"/>
    </row>
    <row r="129" ht="17.25" customHeight="1">
      <c r="A129" s="61"/>
      <c r="B129" s="63" t="b">
        <v>0</v>
      </c>
      <c r="C129" s="64">
        <v>122.0</v>
      </c>
      <c r="D129" s="65">
        <v>45358.0</v>
      </c>
      <c r="E129" s="67" t="s">
        <v>251</v>
      </c>
      <c r="F129" s="67" t="s">
        <v>44</v>
      </c>
      <c r="G129" s="69">
        <f>SUMPRODUCT(('⚙️Pengaturan'!$C$3:$C$100=$F129)*('⚙️Pengaturan'!$D$3:$D$100))</f>
        <v>150000</v>
      </c>
      <c r="H129" s="70" t="s">
        <v>28</v>
      </c>
      <c r="I129" s="69"/>
      <c r="J129" s="69">
        <f t="shared" si="1"/>
        <v>150000</v>
      </c>
      <c r="K129" s="71"/>
    </row>
    <row r="130" ht="17.25" customHeight="1">
      <c r="A130" s="61"/>
      <c r="B130" s="63" t="b">
        <v>0</v>
      </c>
      <c r="C130" s="64">
        <v>123.0</v>
      </c>
      <c r="D130" s="65">
        <v>45358.0</v>
      </c>
      <c r="E130" s="67" t="s">
        <v>266</v>
      </c>
      <c r="F130" s="67" t="s">
        <v>24</v>
      </c>
      <c r="G130" s="69">
        <f>SUMPRODUCT(('⚙️Pengaturan'!$C$3:$C$100=$F130)*('⚙️Pengaturan'!$D$3:$D$100))</f>
        <v>250000</v>
      </c>
      <c r="H130" s="70" t="s">
        <v>28</v>
      </c>
      <c r="I130" s="69"/>
      <c r="J130" s="69">
        <f t="shared" si="1"/>
        <v>250000</v>
      </c>
      <c r="K130" s="71"/>
    </row>
    <row r="131" ht="17.25" customHeight="1">
      <c r="A131" s="61"/>
      <c r="B131" s="63" t="b">
        <v>0</v>
      </c>
      <c r="C131" s="64">
        <v>124.0</v>
      </c>
      <c r="D131" s="65">
        <v>45360.0</v>
      </c>
      <c r="E131" s="67" t="s">
        <v>269</v>
      </c>
      <c r="F131" s="67" t="s">
        <v>24</v>
      </c>
      <c r="G131" s="69">
        <f>SUMPRODUCT(('⚙️Pengaturan'!$C$3:$C$100=$F131)*('⚙️Pengaturan'!$D$3:$D$100))</f>
        <v>250000</v>
      </c>
      <c r="H131" s="70" t="s">
        <v>28</v>
      </c>
      <c r="I131" s="69"/>
      <c r="J131" s="69">
        <f t="shared" si="1"/>
        <v>250000</v>
      </c>
      <c r="K131" s="71"/>
    </row>
    <row r="132" ht="17.25" customHeight="1">
      <c r="A132" s="61"/>
      <c r="B132" s="63" t="b">
        <v>0</v>
      </c>
      <c r="C132" s="64">
        <v>125.0</v>
      </c>
      <c r="D132" s="65">
        <v>45360.0</v>
      </c>
      <c r="E132" s="67" t="s">
        <v>240</v>
      </c>
      <c r="F132" s="67" t="s">
        <v>44</v>
      </c>
      <c r="G132" s="69">
        <f>SUMPRODUCT(('⚙️Pengaturan'!$C$3:$C$100=$F132)*('⚙️Pengaturan'!$D$3:$D$100))</f>
        <v>150000</v>
      </c>
      <c r="H132" s="70" t="s">
        <v>28</v>
      </c>
      <c r="I132" s="69"/>
      <c r="J132" s="69">
        <f t="shared" si="1"/>
        <v>150000</v>
      </c>
      <c r="K132" s="71"/>
    </row>
    <row r="133" ht="17.25" customHeight="1">
      <c r="A133" s="61"/>
      <c r="B133" s="63" t="b">
        <v>0</v>
      </c>
      <c r="C133" s="64">
        <v>126.0</v>
      </c>
      <c r="D133" s="65">
        <v>45361.0</v>
      </c>
      <c r="E133" s="67" t="s">
        <v>270</v>
      </c>
      <c r="F133" s="67" t="s">
        <v>24</v>
      </c>
      <c r="G133" s="69">
        <f>SUMPRODUCT(('⚙️Pengaturan'!$C$3:$C$100=$F133)*('⚙️Pengaturan'!$D$3:$D$100))</f>
        <v>250000</v>
      </c>
      <c r="H133" s="70" t="s">
        <v>28</v>
      </c>
      <c r="I133" s="69"/>
      <c r="J133" s="69">
        <f t="shared" si="1"/>
        <v>250000</v>
      </c>
      <c r="K133" s="71"/>
    </row>
    <row r="134" ht="17.25" customHeight="1">
      <c r="A134" s="61"/>
      <c r="B134" s="63" t="b">
        <v>0</v>
      </c>
      <c r="C134" s="64">
        <v>127.0</v>
      </c>
      <c r="D134" s="65">
        <v>45361.0</v>
      </c>
      <c r="E134" s="67" t="s">
        <v>272</v>
      </c>
      <c r="F134" s="67" t="s">
        <v>24</v>
      </c>
      <c r="G134" s="69">
        <f>SUMPRODUCT(('⚙️Pengaturan'!$C$3:$C$100=$F134)*('⚙️Pengaturan'!$D$3:$D$100))</f>
        <v>250000</v>
      </c>
      <c r="H134" s="70" t="s">
        <v>28</v>
      </c>
      <c r="I134" s="69"/>
      <c r="J134" s="69">
        <f t="shared" si="1"/>
        <v>250000</v>
      </c>
      <c r="K134" s="71"/>
    </row>
    <row r="135" ht="17.25" customHeight="1">
      <c r="A135" s="61"/>
      <c r="B135" s="63" t="b">
        <v>0</v>
      </c>
      <c r="C135" s="64">
        <v>128.0</v>
      </c>
      <c r="D135" s="65">
        <v>45361.0</v>
      </c>
      <c r="E135" s="67" t="s">
        <v>272</v>
      </c>
      <c r="F135" s="67" t="s">
        <v>53</v>
      </c>
      <c r="G135" s="69">
        <f>SUMPRODUCT(('⚙️Pengaturan'!$C$3:$C$100=$F135)*('⚙️Pengaturan'!$D$3:$D$100))</f>
        <v>650000</v>
      </c>
      <c r="H135" s="70" t="s">
        <v>28</v>
      </c>
      <c r="I135" s="69"/>
      <c r="J135" s="69">
        <f t="shared" si="1"/>
        <v>650000</v>
      </c>
      <c r="K135" s="71"/>
    </row>
    <row r="136" ht="17.25" customHeight="1">
      <c r="A136" s="61"/>
      <c r="B136" s="63" t="b">
        <v>0</v>
      </c>
      <c r="C136" s="64">
        <v>129.0</v>
      </c>
      <c r="D136" s="65">
        <v>45361.0</v>
      </c>
      <c r="E136" s="67" t="s">
        <v>232</v>
      </c>
      <c r="F136" s="67" t="s">
        <v>44</v>
      </c>
      <c r="G136" s="69">
        <f>SUMPRODUCT(('⚙️Pengaturan'!$C$3:$C$100=$F136)*('⚙️Pengaturan'!$D$3:$D$100))</f>
        <v>150000</v>
      </c>
      <c r="H136" s="70" t="s">
        <v>28</v>
      </c>
      <c r="I136" s="69"/>
      <c r="J136" s="69">
        <f t="shared" si="1"/>
        <v>150000</v>
      </c>
      <c r="K136" s="71"/>
    </row>
    <row r="137" ht="17.25" customHeight="1">
      <c r="A137" s="61"/>
      <c r="B137" s="63" t="b">
        <v>0</v>
      </c>
      <c r="C137" s="64">
        <v>130.0</v>
      </c>
      <c r="D137" s="65">
        <v>45361.0</v>
      </c>
      <c r="E137" s="67" t="s">
        <v>266</v>
      </c>
      <c r="F137" s="67" t="s">
        <v>44</v>
      </c>
      <c r="G137" s="69">
        <f>SUMPRODUCT(('⚙️Pengaturan'!$C$3:$C$100=$F137)*('⚙️Pengaturan'!$D$3:$D$100))</f>
        <v>150000</v>
      </c>
      <c r="H137" s="70" t="s">
        <v>28</v>
      </c>
      <c r="I137" s="69"/>
      <c r="J137" s="69">
        <f t="shared" si="1"/>
        <v>150000</v>
      </c>
      <c r="K137" s="71"/>
    </row>
    <row r="138" ht="17.25" customHeight="1">
      <c r="A138" s="61"/>
      <c r="B138" s="63" t="b">
        <v>0</v>
      </c>
      <c r="C138" s="64">
        <v>131.0</v>
      </c>
      <c r="D138" s="65">
        <v>45363.0</v>
      </c>
      <c r="E138" s="67" t="s">
        <v>275</v>
      </c>
      <c r="F138" s="67" t="s">
        <v>44</v>
      </c>
      <c r="G138" s="69">
        <f>SUMPRODUCT(('⚙️Pengaturan'!$C$3:$C$100=$F138)*('⚙️Pengaturan'!$D$3:$D$100))</f>
        <v>150000</v>
      </c>
      <c r="H138" s="70" t="s">
        <v>28</v>
      </c>
      <c r="I138" s="69"/>
      <c r="J138" s="69">
        <f t="shared" si="1"/>
        <v>150000</v>
      </c>
      <c r="K138" s="71"/>
    </row>
    <row r="139" ht="17.25" customHeight="1">
      <c r="A139" s="61"/>
      <c r="B139" s="63" t="b">
        <v>0</v>
      </c>
      <c r="C139" s="64">
        <v>132.0</v>
      </c>
      <c r="D139" s="65">
        <v>45363.0</v>
      </c>
      <c r="E139" s="67" t="s">
        <v>277</v>
      </c>
      <c r="F139" s="67" t="s">
        <v>24</v>
      </c>
      <c r="G139" s="69">
        <f>SUMPRODUCT(('⚙️Pengaturan'!$C$3:$C$100=$F139)*('⚙️Pengaturan'!$D$3:$D$100))</f>
        <v>250000</v>
      </c>
      <c r="H139" s="70" t="s">
        <v>28</v>
      </c>
      <c r="I139" s="69"/>
      <c r="J139" s="69">
        <f t="shared" si="1"/>
        <v>250000</v>
      </c>
      <c r="K139" s="71"/>
    </row>
    <row r="140" ht="17.25" customHeight="1">
      <c r="A140" s="61"/>
      <c r="B140" s="63" t="b">
        <v>0</v>
      </c>
      <c r="C140" s="64">
        <v>133.0</v>
      </c>
      <c r="D140" s="65">
        <v>45363.0</v>
      </c>
      <c r="E140" s="158" t="s">
        <v>277</v>
      </c>
      <c r="F140" s="67" t="s">
        <v>53</v>
      </c>
      <c r="G140" s="69">
        <f>SUMPRODUCT(('⚙️Pengaturan'!$C$3:$C$100=$F140)*('⚙️Pengaturan'!$D$3:$D$100))</f>
        <v>650000</v>
      </c>
      <c r="H140" s="70" t="s">
        <v>28</v>
      </c>
      <c r="I140" s="69">
        <v>450000.0</v>
      </c>
      <c r="J140" s="69">
        <f t="shared" si="1"/>
        <v>200000</v>
      </c>
      <c r="K140" s="71"/>
    </row>
    <row r="141" ht="17.25" customHeight="1">
      <c r="A141" s="61"/>
      <c r="B141" s="63" t="b">
        <v>0</v>
      </c>
      <c r="C141" s="64">
        <v>134.0</v>
      </c>
      <c r="D141" s="65">
        <v>45364.0</v>
      </c>
      <c r="E141" s="67" t="s">
        <v>281</v>
      </c>
      <c r="F141" s="67" t="s">
        <v>24</v>
      </c>
      <c r="G141" s="69">
        <f>SUMPRODUCT(('⚙️Pengaturan'!$C$3:$C$100=$F141)*('⚙️Pengaturan'!$D$3:$D$100))</f>
        <v>250000</v>
      </c>
      <c r="H141" s="70" t="s">
        <v>28</v>
      </c>
      <c r="I141" s="69"/>
      <c r="J141" s="69">
        <f t="shared" si="1"/>
        <v>250000</v>
      </c>
      <c r="K141" s="71"/>
    </row>
    <row r="142" ht="17.25" customHeight="1">
      <c r="A142" s="61"/>
      <c r="B142" s="63" t="b">
        <v>0</v>
      </c>
      <c r="C142" s="64">
        <v>135.0</v>
      </c>
      <c r="D142" s="65">
        <v>45364.0</v>
      </c>
      <c r="E142" s="67" t="s">
        <v>266</v>
      </c>
      <c r="F142" s="67" t="s">
        <v>44</v>
      </c>
      <c r="G142" s="69">
        <f>SUMPRODUCT(('⚙️Pengaturan'!$C$3:$C$100=$F142)*('⚙️Pengaturan'!$D$3:$D$100))</f>
        <v>150000</v>
      </c>
      <c r="H142" s="70" t="s">
        <v>28</v>
      </c>
      <c r="I142" s="69"/>
      <c r="J142" s="69">
        <f t="shared" si="1"/>
        <v>150000</v>
      </c>
      <c r="K142" s="71"/>
    </row>
    <row r="143" ht="17.25" customHeight="1">
      <c r="A143" s="61"/>
      <c r="B143" s="63" t="b">
        <v>0</v>
      </c>
      <c r="C143" s="64">
        <v>136.0</v>
      </c>
      <c r="D143" s="65">
        <v>45365.0</v>
      </c>
      <c r="E143" s="67" t="s">
        <v>199</v>
      </c>
      <c r="F143" s="67" t="s">
        <v>67</v>
      </c>
      <c r="G143" s="69">
        <f>SUMPRODUCT(('⚙️Pengaturan'!$C$3:$C$100=$F143)*('⚙️Pengaturan'!$D$3:$D$100))</f>
        <v>1200000</v>
      </c>
      <c r="H143" s="70" t="s">
        <v>63</v>
      </c>
      <c r="I143" s="69">
        <v>700000.0</v>
      </c>
      <c r="J143" s="69">
        <f t="shared" si="1"/>
        <v>500000</v>
      </c>
      <c r="K143" s="71"/>
    </row>
    <row r="144" ht="17.25" customHeight="1">
      <c r="A144" s="61"/>
      <c r="B144" s="63" t="b">
        <v>0</v>
      </c>
      <c r="C144" s="64">
        <v>137.0</v>
      </c>
      <c r="D144" s="65">
        <v>45365.0</v>
      </c>
      <c r="E144" s="67" t="s">
        <v>269</v>
      </c>
      <c r="F144" s="67" t="s">
        <v>44</v>
      </c>
      <c r="G144" s="69">
        <f>SUMPRODUCT(('⚙️Pengaturan'!$C$3:$C$100=$F144)*('⚙️Pengaturan'!$D$3:$D$100))</f>
        <v>150000</v>
      </c>
      <c r="H144" s="70" t="s">
        <v>28</v>
      </c>
      <c r="I144" s="69"/>
      <c r="J144" s="69">
        <f t="shared" si="1"/>
        <v>150000</v>
      </c>
      <c r="K144" s="71"/>
    </row>
    <row r="145" ht="17.25" customHeight="1">
      <c r="A145" s="61"/>
      <c r="B145" s="63" t="b">
        <v>0</v>
      </c>
      <c r="C145" s="64">
        <v>138.0</v>
      </c>
      <c r="D145" s="65">
        <v>45365.0</v>
      </c>
      <c r="E145" s="67" t="s">
        <v>285</v>
      </c>
      <c r="F145" s="67" t="s">
        <v>24</v>
      </c>
      <c r="G145" s="69">
        <f>SUMPRODUCT(('⚙️Pengaturan'!$C$3:$C$100=$F145)*('⚙️Pengaturan'!$D$3:$D$100))</f>
        <v>250000</v>
      </c>
      <c r="H145" s="70" t="s">
        <v>28</v>
      </c>
      <c r="I145" s="69"/>
      <c r="J145" s="69">
        <f t="shared" si="1"/>
        <v>250000</v>
      </c>
      <c r="K145" s="71"/>
    </row>
    <row r="146" ht="17.25" customHeight="1">
      <c r="A146" s="61"/>
      <c r="B146" s="63" t="b">
        <v>0</v>
      </c>
      <c r="C146" s="64">
        <v>139.0</v>
      </c>
      <c r="D146" s="65">
        <v>45367.0</v>
      </c>
      <c r="E146" s="67" t="s">
        <v>22</v>
      </c>
      <c r="F146" s="67" t="s">
        <v>53</v>
      </c>
      <c r="G146" s="69">
        <f>SUMPRODUCT(('⚙️Pengaturan'!$C$3:$C$100=$F146)*('⚙️Pengaturan'!$D$3:$D$100))</f>
        <v>650000</v>
      </c>
      <c r="H146" s="70" t="s">
        <v>28</v>
      </c>
      <c r="I146" s="69"/>
      <c r="J146" s="69">
        <f t="shared" si="1"/>
        <v>650000</v>
      </c>
      <c r="K146" s="71"/>
    </row>
    <row r="147" ht="17.25" customHeight="1">
      <c r="A147" s="61"/>
      <c r="B147" s="63" t="b">
        <v>0</v>
      </c>
      <c r="C147" s="64">
        <v>140.0</v>
      </c>
      <c r="D147" s="65">
        <v>45368.0</v>
      </c>
      <c r="E147" s="67" t="s">
        <v>269</v>
      </c>
      <c r="F147" s="67" t="s">
        <v>44</v>
      </c>
      <c r="G147" s="69">
        <f>SUMPRODUCT(('⚙️Pengaturan'!$C$3:$C$100=$F147)*('⚙️Pengaturan'!$D$3:$D$100))</f>
        <v>150000</v>
      </c>
      <c r="H147" s="70" t="s">
        <v>28</v>
      </c>
      <c r="I147" s="69"/>
      <c r="J147" s="69">
        <f t="shared" si="1"/>
        <v>150000</v>
      </c>
      <c r="K147" s="71"/>
    </row>
    <row r="148" ht="17.25" customHeight="1">
      <c r="A148" s="61"/>
      <c r="B148" s="63" t="b">
        <v>0</v>
      </c>
      <c r="C148" s="64">
        <v>141.0</v>
      </c>
      <c r="D148" s="65">
        <v>45368.0</v>
      </c>
      <c r="E148" s="67" t="s">
        <v>288</v>
      </c>
      <c r="F148" s="67" t="s">
        <v>24</v>
      </c>
      <c r="G148" s="69">
        <f>SUMPRODUCT(('⚙️Pengaturan'!$C$3:$C$100=$F148)*('⚙️Pengaturan'!$D$3:$D$100))</f>
        <v>250000</v>
      </c>
      <c r="H148" s="70" t="s">
        <v>28</v>
      </c>
      <c r="I148" s="69"/>
      <c r="J148" s="69">
        <f t="shared" si="1"/>
        <v>250000</v>
      </c>
      <c r="K148" s="71"/>
    </row>
    <row r="149" ht="17.25" customHeight="1">
      <c r="A149" s="61"/>
      <c r="B149" s="63" t="b">
        <v>0</v>
      </c>
      <c r="C149" s="64">
        <v>142.0</v>
      </c>
      <c r="D149" s="65">
        <v>45368.0</v>
      </c>
      <c r="E149" s="67" t="s">
        <v>277</v>
      </c>
      <c r="F149" s="67" t="s">
        <v>53</v>
      </c>
      <c r="G149" s="69">
        <f>SUMPRODUCT(('⚙️Pengaturan'!$C$3:$C$100=$F149)*('⚙️Pengaturan'!$D$3:$D$100))</f>
        <v>650000</v>
      </c>
      <c r="H149" s="70" t="s">
        <v>28</v>
      </c>
      <c r="I149" s="69">
        <v>200000.0</v>
      </c>
      <c r="J149" s="69">
        <f t="shared" si="1"/>
        <v>450000</v>
      </c>
      <c r="K149" s="71"/>
    </row>
    <row r="150" ht="17.25" customHeight="1">
      <c r="A150" s="61"/>
      <c r="B150" s="63" t="b">
        <v>0</v>
      </c>
      <c r="C150" s="64">
        <v>143.0</v>
      </c>
      <c r="D150" s="65">
        <v>45370.0</v>
      </c>
      <c r="E150" s="67" t="s">
        <v>292</v>
      </c>
      <c r="F150" s="67" t="s">
        <v>24</v>
      </c>
      <c r="G150" s="69">
        <f>SUMPRODUCT(('⚙️Pengaturan'!$C$3:$C$100=$F150)*('⚙️Pengaturan'!$D$3:$D$100))</f>
        <v>250000</v>
      </c>
      <c r="H150" s="70" t="s">
        <v>28</v>
      </c>
      <c r="I150" s="69">
        <v>200000.0</v>
      </c>
      <c r="J150" s="69">
        <f t="shared" si="1"/>
        <v>50000</v>
      </c>
      <c r="K150" s="71"/>
    </row>
    <row r="151" ht="17.25" customHeight="1">
      <c r="A151" s="61"/>
      <c r="B151" s="63" t="b">
        <v>0</v>
      </c>
      <c r="C151" s="64">
        <v>144.0</v>
      </c>
      <c r="D151" s="65">
        <v>45370.0</v>
      </c>
      <c r="E151" s="67" t="s">
        <v>293</v>
      </c>
      <c r="F151" s="67" t="s">
        <v>24</v>
      </c>
      <c r="G151" s="69">
        <f>SUMPRODUCT(('⚙️Pengaturan'!$C$3:$C$100=$F151)*('⚙️Pengaturan'!$D$3:$D$100))</f>
        <v>250000</v>
      </c>
      <c r="H151" s="70" t="s">
        <v>28</v>
      </c>
      <c r="I151" s="69"/>
      <c r="J151" s="69">
        <f t="shared" si="1"/>
        <v>250000</v>
      </c>
      <c r="K151" s="71"/>
    </row>
    <row r="152" ht="17.25" customHeight="1">
      <c r="A152" s="61"/>
      <c r="B152" s="63" t="b">
        <v>0</v>
      </c>
      <c r="C152" s="64">
        <v>145.0</v>
      </c>
      <c r="D152" s="65">
        <v>45370.0</v>
      </c>
      <c r="E152" s="67" t="s">
        <v>288</v>
      </c>
      <c r="F152" s="67" t="s">
        <v>53</v>
      </c>
      <c r="G152" s="69">
        <f>SUMPRODUCT(('⚙️Pengaturan'!$C$3:$C$100=$F152)*('⚙️Pengaturan'!$D$3:$D$100))</f>
        <v>650000</v>
      </c>
      <c r="H152" s="70" t="s">
        <v>28</v>
      </c>
      <c r="I152" s="69"/>
      <c r="J152" s="69">
        <f t="shared" si="1"/>
        <v>650000</v>
      </c>
      <c r="K152" s="71"/>
    </row>
    <row r="153" ht="17.25" customHeight="1">
      <c r="A153" s="61"/>
      <c r="B153" s="63" t="b">
        <v>0</v>
      </c>
      <c r="C153" s="64">
        <v>146.0</v>
      </c>
      <c r="D153" s="65">
        <v>45370.0</v>
      </c>
      <c r="E153" s="67" t="s">
        <v>295</v>
      </c>
      <c r="F153" s="67" t="s">
        <v>24</v>
      </c>
      <c r="G153" s="69">
        <f>SUMPRODUCT(('⚙️Pengaturan'!$C$3:$C$100=$F153)*('⚙️Pengaturan'!$D$3:$D$100))</f>
        <v>250000</v>
      </c>
      <c r="H153" s="70" t="s">
        <v>28</v>
      </c>
      <c r="I153" s="69"/>
      <c r="J153" s="69">
        <f t="shared" si="1"/>
        <v>250000</v>
      </c>
      <c r="K153" s="71"/>
    </row>
    <row r="154" ht="17.25" customHeight="1">
      <c r="A154" s="61"/>
      <c r="B154" s="63" t="b">
        <v>0</v>
      </c>
      <c r="C154" s="64">
        <v>147.0</v>
      </c>
      <c r="D154" s="65">
        <v>45371.0</v>
      </c>
      <c r="E154" s="67" t="s">
        <v>266</v>
      </c>
      <c r="F154" s="67" t="s">
        <v>44</v>
      </c>
      <c r="G154" s="69">
        <f>SUMPRODUCT(('⚙️Pengaturan'!$C$3:$C$100=$F154)*('⚙️Pengaturan'!$D$3:$D$100))</f>
        <v>150000</v>
      </c>
      <c r="H154" s="70" t="s">
        <v>28</v>
      </c>
      <c r="I154" s="69"/>
      <c r="J154" s="69">
        <f t="shared" si="1"/>
        <v>150000</v>
      </c>
      <c r="K154" s="71"/>
    </row>
    <row r="155" ht="17.25" customHeight="1">
      <c r="A155" s="61"/>
      <c r="B155" s="63" t="b">
        <v>0</v>
      </c>
      <c r="C155" s="64">
        <v>148.0</v>
      </c>
      <c r="D155" s="65">
        <v>45371.0</v>
      </c>
      <c r="E155" s="67" t="s">
        <v>295</v>
      </c>
      <c r="F155" s="67" t="s">
        <v>53</v>
      </c>
      <c r="G155" s="69">
        <f>SUMPRODUCT(('⚙️Pengaturan'!$C$3:$C$100=$F155)*('⚙️Pengaturan'!$D$3:$D$100))</f>
        <v>650000</v>
      </c>
      <c r="H155" s="70" t="s">
        <v>28</v>
      </c>
      <c r="I155" s="69">
        <v>300000.0</v>
      </c>
      <c r="J155" s="69">
        <f t="shared" si="1"/>
        <v>350000</v>
      </c>
      <c r="K155" s="71"/>
    </row>
    <row r="156" ht="17.25" customHeight="1">
      <c r="A156" s="61"/>
      <c r="B156" s="63" t="b">
        <v>0</v>
      </c>
      <c r="C156" s="64">
        <v>149.0</v>
      </c>
      <c r="D156" s="65">
        <v>45372.0</v>
      </c>
      <c r="E156" s="67" t="s">
        <v>297</v>
      </c>
      <c r="F156" s="67" t="s">
        <v>67</v>
      </c>
      <c r="G156" s="69">
        <f>SUMPRODUCT(('⚙️Pengaturan'!$C$3:$C$100=$F156)*('⚙️Pengaturan'!$D$3:$D$100))</f>
        <v>1200000</v>
      </c>
      <c r="H156" s="70" t="s">
        <v>28</v>
      </c>
      <c r="I156" s="69">
        <v>600000.0</v>
      </c>
      <c r="J156" s="69">
        <f t="shared" si="1"/>
        <v>600000</v>
      </c>
      <c r="K156" s="71"/>
    </row>
    <row r="157" ht="17.25" customHeight="1">
      <c r="A157" s="61"/>
      <c r="B157" s="63" t="b">
        <v>0</v>
      </c>
      <c r="C157" s="64">
        <v>150.0</v>
      </c>
      <c r="D157" s="65">
        <v>45374.0</v>
      </c>
      <c r="E157" s="67" t="s">
        <v>299</v>
      </c>
      <c r="F157" s="67" t="s">
        <v>24</v>
      </c>
      <c r="G157" s="69">
        <f>SUMPRODUCT(('⚙️Pengaturan'!$C$3:$C$100=$F157)*('⚙️Pengaturan'!$D$3:$D$100))</f>
        <v>250000</v>
      </c>
      <c r="H157" s="70" t="s">
        <v>28</v>
      </c>
      <c r="I157" s="69"/>
      <c r="J157" s="69">
        <f t="shared" si="1"/>
        <v>250000</v>
      </c>
      <c r="K157" s="71"/>
    </row>
    <row r="158" ht="17.25" customHeight="1">
      <c r="A158" s="61"/>
      <c r="B158" s="63" t="b">
        <v>0</v>
      </c>
      <c r="C158" s="64">
        <v>151.0</v>
      </c>
      <c r="D158" s="65">
        <v>45374.0</v>
      </c>
      <c r="E158" s="67" t="s">
        <v>300</v>
      </c>
      <c r="F158" s="67" t="s">
        <v>24</v>
      </c>
      <c r="G158" s="69">
        <f>SUMPRODUCT(('⚙️Pengaturan'!$C$3:$C$100=$F158)*('⚙️Pengaturan'!$D$3:$D$100))</f>
        <v>250000</v>
      </c>
      <c r="H158" s="70" t="s">
        <v>28</v>
      </c>
      <c r="I158" s="69"/>
      <c r="J158" s="69">
        <f t="shared" si="1"/>
        <v>250000</v>
      </c>
      <c r="K158" s="71"/>
    </row>
    <row r="159" ht="17.25" customHeight="1">
      <c r="A159" s="61"/>
      <c r="B159" s="63" t="b">
        <v>0</v>
      </c>
      <c r="C159" s="64">
        <v>152.0</v>
      </c>
      <c r="D159" s="65">
        <v>45374.0</v>
      </c>
      <c r="E159" s="67" t="s">
        <v>266</v>
      </c>
      <c r="F159" s="67" t="s">
        <v>44</v>
      </c>
      <c r="G159" s="69">
        <f>SUMPRODUCT(('⚙️Pengaturan'!$C$3:$C$100=$F159)*('⚙️Pengaturan'!$D$3:$D$100))</f>
        <v>150000</v>
      </c>
      <c r="H159" s="70" t="s">
        <v>28</v>
      </c>
      <c r="I159" s="69"/>
      <c r="J159" s="69">
        <f t="shared" si="1"/>
        <v>150000</v>
      </c>
      <c r="K159" s="71"/>
    </row>
    <row r="160" ht="17.25" customHeight="1">
      <c r="A160" s="61"/>
      <c r="B160" s="63" t="b">
        <v>0</v>
      </c>
      <c r="C160" s="64">
        <v>153.0</v>
      </c>
      <c r="D160" s="65">
        <v>45375.0</v>
      </c>
      <c r="E160" s="67" t="s">
        <v>302</v>
      </c>
      <c r="F160" s="67" t="s">
        <v>24</v>
      </c>
      <c r="G160" s="69">
        <f>SUMPRODUCT(('⚙️Pengaturan'!$C$3:$C$100=$F160)*('⚙️Pengaturan'!$D$3:$D$100))</f>
        <v>250000</v>
      </c>
      <c r="H160" s="70" t="s">
        <v>28</v>
      </c>
      <c r="I160" s="69"/>
      <c r="J160" s="69">
        <f t="shared" si="1"/>
        <v>250000</v>
      </c>
      <c r="K160" s="71"/>
    </row>
    <row r="161" ht="17.25" customHeight="1">
      <c r="A161" s="61"/>
      <c r="B161" s="63" t="b">
        <v>0</v>
      </c>
      <c r="C161" s="64">
        <v>154.0</v>
      </c>
      <c r="D161" s="65">
        <v>45375.0</v>
      </c>
      <c r="E161" s="67" t="s">
        <v>295</v>
      </c>
      <c r="F161" s="67" t="s">
        <v>53</v>
      </c>
      <c r="G161" s="69">
        <f>SUMPRODUCT(('⚙️Pengaturan'!$C$3:$C$100=$F161)*('⚙️Pengaturan'!$D$3:$D$100))</f>
        <v>650000</v>
      </c>
      <c r="H161" s="70" t="s">
        <v>28</v>
      </c>
      <c r="I161" s="69">
        <v>350000.0</v>
      </c>
      <c r="J161" s="69">
        <f t="shared" si="1"/>
        <v>300000</v>
      </c>
      <c r="K161" s="71"/>
    </row>
    <row r="162" ht="17.25" customHeight="1">
      <c r="A162" s="61"/>
      <c r="B162" s="63" t="b">
        <v>0</v>
      </c>
      <c r="C162" s="64">
        <v>155.0</v>
      </c>
      <c r="D162" s="65">
        <v>45375.0</v>
      </c>
      <c r="E162" s="67" t="s">
        <v>269</v>
      </c>
      <c r="F162" s="67" t="s">
        <v>44</v>
      </c>
      <c r="G162" s="69">
        <f>SUMPRODUCT(('⚙️Pengaturan'!$C$3:$C$100=$F162)*('⚙️Pengaturan'!$D$3:$D$100))</f>
        <v>150000</v>
      </c>
      <c r="H162" s="70" t="s">
        <v>28</v>
      </c>
      <c r="I162" s="69"/>
      <c r="J162" s="69">
        <f t="shared" si="1"/>
        <v>150000</v>
      </c>
      <c r="K162" s="71"/>
    </row>
    <row r="163" ht="17.25" customHeight="1">
      <c r="A163" s="61"/>
      <c r="B163" s="63" t="b">
        <v>0</v>
      </c>
      <c r="C163" s="64">
        <v>156.0</v>
      </c>
      <c r="D163" s="65">
        <v>45376.0</v>
      </c>
      <c r="E163" s="67" t="s">
        <v>304</v>
      </c>
      <c r="F163" s="67" t="s">
        <v>24</v>
      </c>
      <c r="G163" s="69">
        <f>SUMPRODUCT(('⚙️Pengaturan'!$C$3:$C$100=$F163)*('⚙️Pengaturan'!$D$3:$D$100))</f>
        <v>250000</v>
      </c>
      <c r="H163" s="70" t="s">
        <v>28</v>
      </c>
      <c r="I163" s="69"/>
      <c r="J163" s="69">
        <f t="shared" si="1"/>
        <v>250000</v>
      </c>
      <c r="K163" s="71"/>
    </row>
    <row r="164" ht="17.25" customHeight="1">
      <c r="A164" s="61"/>
      <c r="B164" s="63" t="b">
        <v>0</v>
      </c>
      <c r="C164" s="64">
        <v>157.0</v>
      </c>
      <c r="D164" s="65">
        <v>45376.0</v>
      </c>
      <c r="E164" s="67" t="s">
        <v>304</v>
      </c>
      <c r="F164" s="67" t="s">
        <v>53</v>
      </c>
      <c r="G164" s="69">
        <f>SUMPRODUCT(('⚙️Pengaturan'!$C$3:$C$100=$F164)*('⚙️Pengaturan'!$D$3:$D$100))</f>
        <v>650000</v>
      </c>
      <c r="H164" s="70" t="s">
        <v>28</v>
      </c>
      <c r="I164" s="69">
        <v>350000.0</v>
      </c>
      <c r="J164" s="69">
        <f t="shared" si="1"/>
        <v>300000</v>
      </c>
      <c r="K164" s="71"/>
    </row>
    <row r="165" ht="17.25" customHeight="1">
      <c r="A165" s="61"/>
      <c r="B165" s="63" t="b">
        <v>0</v>
      </c>
      <c r="C165" s="64">
        <v>158.0</v>
      </c>
      <c r="D165" s="65">
        <v>45377.0</v>
      </c>
      <c r="E165" s="67" t="s">
        <v>307</v>
      </c>
      <c r="F165" s="67" t="s">
        <v>67</v>
      </c>
      <c r="G165" s="69">
        <f>SUMPRODUCT(('⚙️Pengaturan'!$C$3:$C$100=$F165)*('⚙️Pengaturan'!$D$3:$D$100))</f>
        <v>1200000</v>
      </c>
      <c r="H165" s="70" t="s">
        <v>63</v>
      </c>
      <c r="I165" s="69">
        <v>500000.0</v>
      </c>
      <c r="J165" s="69">
        <f t="shared" si="1"/>
        <v>700000</v>
      </c>
      <c r="K165" s="71"/>
    </row>
    <row r="166" ht="17.25" customHeight="1">
      <c r="A166" s="61"/>
      <c r="B166" s="63" t="b">
        <v>0</v>
      </c>
      <c r="C166" s="64">
        <v>159.0</v>
      </c>
      <c r="D166" s="65">
        <v>45378.0</v>
      </c>
      <c r="E166" s="67" t="s">
        <v>295</v>
      </c>
      <c r="F166" s="67" t="s">
        <v>53</v>
      </c>
      <c r="G166" s="69">
        <f>SUMPRODUCT(('⚙️Pengaturan'!$C$3:$C$100=$F166)*('⚙️Pengaturan'!$D$3:$D$100))</f>
        <v>650000</v>
      </c>
      <c r="H166" s="70" t="s">
        <v>28</v>
      </c>
      <c r="I166" s="69">
        <v>350000.0</v>
      </c>
      <c r="J166" s="69">
        <f t="shared" si="1"/>
        <v>300000</v>
      </c>
      <c r="K166" s="71"/>
    </row>
    <row r="167" ht="17.25" customHeight="1">
      <c r="A167" s="61"/>
      <c r="B167" s="63" t="b">
        <v>0</v>
      </c>
      <c r="C167" s="64">
        <v>160.0</v>
      </c>
      <c r="D167" s="65">
        <v>45379.0</v>
      </c>
      <c r="E167" s="67" t="s">
        <v>312</v>
      </c>
      <c r="F167" s="67" t="s">
        <v>24</v>
      </c>
      <c r="G167" s="69">
        <f>SUMPRODUCT(('⚙️Pengaturan'!$C$3:$C$100=$F167)*('⚙️Pengaturan'!$D$3:$D$100))</f>
        <v>250000</v>
      </c>
      <c r="H167" s="70" t="s">
        <v>28</v>
      </c>
      <c r="I167" s="69"/>
      <c r="J167" s="69">
        <f t="shared" si="1"/>
        <v>250000</v>
      </c>
      <c r="K167" s="71"/>
    </row>
    <row r="168" ht="17.25" customHeight="1">
      <c r="A168" s="61"/>
      <c r="B168" s="63" t="b">
        <v>0</v>
      </c>
      <c r="C168" s="64">
        <v>161.0</v>
      </c>
      <c r="D168" s="65">
        <v>45381.0</v>
      </c>
      <c r="E168" s="67" t="s">
        <v>314</v>
      </c>
      <c r="F168" s="67" t="s">
        <v>24</v>
      </c>
      <c r="G168" s="69">
        <f>SUMPRODUCT(('⚙️Pengaturan'!$C$3:$C$100=$F168)*('⚙️Pengaturan'!$D$3:$D$100))</f>
        <v>250000</v>
      </c>
      <c r="H168" s="70" t="s">
        <v>28</v>
      </c>
      <c r="I168" s="69"/>
      <c r="J168" s="69">
        <f t="shared" si="1"/>
        <v>250000</v>
      </c>
      <c r="K168" s="71"/>
    </row>
    <row r="169" ht="17.25" customHeight="1">
      <c r="A169" s="61"/>
      <c r="B169" s="63" t="b">
        <v>0</v>
      </c>
      <c r="C169" s="64">
        <v>162.0</v>
      </c>
      <c r="D169" s="65">
        <v>45383.0</v>
      </c>
      <c r="E169" s="67" t="s">
        <v>304</v>
      </c>
      <c r="F169" s="67" t="s">
        <v>53</v>
      </c>
      <c r="G169" s="69">
        <f>SUMPRODUCT(('⚙️Pengaturan'!$C$3:$C$100=$F169)*('⚙️Pengaturan'!$D$3:$D$100))</f>
        <v>650000</v>
      </c>
      <c r="H169" s="70" t="s">
        <v>28</v>
      </c>
      <c r="I169" s="69">
        <v>300000.0</v>
      </c>
      <c r="J169" s="69">
        <f t="shared" si="1"/>
        <v>350000</v>
      </c>
      <c r="K169" s="71"/>
    </row>
    <row r="170" ht="17.25" customHeight="1">
      <c r="A170" s="61"/>
      <c r="B170" s="63" t="b">
        <v>0</v>
      </c>
      <c r="C170" s="64">
        <v>163.0</v>
      </c>
      <c r="D170" s="65">
        <v>45383.0</v>
      </c>
      <c r="E170" s="67" t="s">
        <v>317</v>
      </c>
      <c r="F170" s="67" t="s">
        <v>24</v>
      </c>
      <c r="G170" s="69">
        <f>SUMPRODUCT(('⚙️Pengaturan'!$C$3:$C$100=$F170)*('⚙️Pengaturan'!$D$3:$D$100))</f>
        <v>250000</v>
      </c>
      <c r="H170" s="70" t="s">
        <v>28</v>
      </c>
      <c r="I170" s="69"/>
      <c r="J170" s="69">
        <f t="shared" si="1"/>
        <v>250000</v>
      </c>
      <c r="K170" s="71"/>
    </row>
    <row r="171" ht="17.25" customHeight="1">
      <c r="A171" s="61"/>
      <c r="B171" s="63" t="b">
        <v>0</v>
      </c>
      <c r="C171" s="64">
        <v>164.0</v>
      </c>
      <c r="D171" s="65">
        <v>45383.0</v>
      </c>
      <c r="E171" s="67" t="s">
        <v>295</v>
      </c>
      <c r="F171" s="67" t="s">
        <v>53</v>
      </c>
      <c r="G171" s="69">
        <f>SUMPRODUCT(('⚙️Pengaturan'!$C$3:$C$100=$F171)*('⚙️Pengaturan'!$D$3:$D$100))</f>
        <v>650000</v>
      </c>
      <c r="H171" s="70" t="s">
        <v>28</v>
      </c>
      <c r="I171" s="69">
        <v>300000.0</v>
      </c>
      <c r="J171" s="69">
        <f t="shared" si="1"/>
        <v>350000</v>
      </c>
      <c r="K171" s="71"/>
    </row>
    <row r="172" ht="17.25" customHeight="1">
      <c r="A172" s="61"/>
      <c r="B172" s="63" t="b">
        <v>0</v>
      </c>
      <c r="C172" s="64">
        <v>165.0</v>
      </c>
      <c r="D172" s="65">
        <v>45383.0</v>
      </c>
      <c r="E172" s="67" t="s">
        <v>266</v>
      </c>
      <c r="F172" s="67" t="s">
        <v>44</v>
      </c>
      <c r="G172" s="69">
        <f>SUMPRODUCT(('⚙️Pengaturan'!$C$3:$C$100=$F172)*('⚙️Pengaturan'!$D$3:$D$100))</f>
        <v>150000</v>
      </c>
      <c r="H172" s="70" t="s">
        <v>28</v>
      </c>
      <c r="I172" s="69"/>
      <c r="J172" s="69">
        <f t="shared" si="1"/>
        <v>150000</v>
      </c>
      <c r="K172" s="71"/>
    </row>
    <row r="173" ht="17.25" customHeight="1">
      <c r="A173" s="61"/>
      <c r="B173" s="63" t="b">
        <v>0</v>
      </c>
      <c r="C173" s="64">
        <v>166.0</v>
      </c>
      <c r="D173" s="65">
        <v>45384.0</v>
      </c>
      <c r="E173" s="67" t="s">
        <v>319</v>
      </c>
      <c r="F173" s="67" t="s">
        <v>24</v>
      </c>
      <c r="G173" s="69">
        <f>SUMPRODUCT(('⚙️Pengaturan'!$C$3:$C$100=$F173)*('⚙️Pengaturan'!$D$3:$D$100))</f>
        <v>250000</v>
      </c>
      <c r="H173" s="70" t="s">
        <v>63</v>
      </c>
      <c r="I173" s="69"/>
      <c r="J173" s="69">
        <f t="shared" si="1"/>
        <v>250000</v>
      </c>
      <c r="K173" s="71"/>
    </row>
    <row r="174" ht="17.25" customHeight="1">
      <c r="A174" s="61"/>
      <c r="B174" s="63" t="b">
        <v>0</v>
      </c>
      <c r="C174" s="64">
        <v>167.0</v>
      </c>
      <c r="D174" s="65">
        <v>45385.0</v>
      </c>
      <c r="E174" s="67" t="s">
        <v>317</v>
      </c>
      <c r="F174" s="67" t="s">
        <v>44</v>
      </c>
      <c r="G174" s="69">
        <f>SUMPRODUCT(('⚙️Pengaturan'!$C$3:$C$100=$F174)*('⚙️Pengaturan'!$D$3:$D$100))</f>
        <v>150000</v>
      </c>
      <c r="H174" s="70" t="s">
        <v>28</v>
      </c>
      <c r="I174" s="69"/>
      <c r="J174" s="69">
        <f t="shared" si="1"/>
        <v>150000</v>
      </c>
      <c r="K174" s="71"/>
    </row>
    <row r="175" ht="17.25" customHeight="1">
      <c r="A175" s="61"/>
      <c r="B175" s="63" t="b">
        <v>0</v>
      </c>
      <c r="C175" s="64">
        <v>168.0</v>
      </c>
      <c r="D175" s="65">
        <v>45385.0</v>
      </c>
      <c r="E175" s="67" t="s">
        <v>321</v>
      </c>
      <c r="F175" s="67" t="s">
        <v>116</v>
      </c>
      <c r="G175" s="69">
        <f>SUMPRODUCT(('⚙️Pengaturan'!$C$3:$C$100=$F175)*('⚙️Pengaturan'!$D$3:$D$100))</f>
        <v>300000</v>
      </c>
      <c r="H175" s="70" t="s">
        <v>28</v>
      </c>
      <c r="I175" s="69"/>
      <c r="J175" s="69">
        <f t="shared" si="1"/>
        <v>300000</v>
      </c>
      <c r="K175" s="71"/>
    </row>
    <row r="176" ht="17.25" customHeight="1">
      <c r="A176" s="61"/>
      <c r="B176" s="63" t="b">
        <v>0</v>
      </c>
      <c r="C176" s="64">
        <v>169.0</v>
      </c>
      <c r="D176" s="65">
        <v>45386.0</v>
      </c>
      <c r="E176" s="67" t="s">
        <v>322</v>
      </c>
      <c r="F176" s="67" t="s">
        <v>24</v>
      </c>
      <c r="G176" s="69">
        <f>SUMPRODUCT(('⚙️Pengaturan'!$C$3:$C$100=$F176)*('⚙️Pengaturan'!$D$3:$D$100))</f>
        <v>250000</v>
      </c>
      <c r="H176" s="70" t="s">
        <v>28</v>
      </c>
      <c r="I176" s="69"/>
      <c r="J176" s="69">
        <f t="shared" si="1"/>
        <v>250000</v>
      </c>
      <c r="K176" s="71"/>
    </row>
    <row r="177" ht="17.25" customHeight="1">
      <c r="A177" s="61"/>
      <c r="B177" s="63" t="b">
        <v>0</v>
      </c>
      <c r="C177" s="64">
        <v>170.0</v>
      </c>
      <c r="D177" s="65">
        <v>45388.0</v>
      </c>
      <c r="E177" s="67" t="s">
        <v>324</v>
      </c>
      <c r="F177" s="67" t="s">
        <v>44</v>
      </c>
      <c r="G177" s="69">
        <f>SUMPRODUCT(('⚙️Pengaturan'!$C$3:$C$100=$F177)*('⚙️Pengaturan'!$D$3:$D$100))</f>
        <v>150000</v>
      </c>
      <c r="H177" s="70" t="s">
        <v>28</v>
      </c>
      <c r="I177" s="69"/>
      <c r="J177" s="69">
        <f t="shared" si="1"/>
        <v>150000</v>
      </c>
      <c r="K177" s="71"/>
    </row>
    <row r="178" ht="17.25" customHeight="1">
      <c r="A178" s="61"/>
      <c r="B178" s="63" t="b">
        <v>0</v>
      </c>
      <c r="C178" s="64">
        <v>171.0</v>
      </c>
      <c r="D178" s="65">
        <v>45388.0</v>
      </c>
      <c r="E178" s="67" t="s">
        <v>240</v>
      </c>
      <c r="F178" s="67" t="s">
        <v>44</v>
      </c>
      <c r="G178" s="69">
        <f>SUMPRODUCT(('⚙️Pengaturan'!$C$3:$C$100=$F178)*('⚙️Pengaturan'!$D$3:$D$100))</f>
        <v>150000</v>
      </c>
      <c r="H178" s="70" t="s">
        <v>28</v>
      </c>
      <c r="I178" s="69"/>
      <c r="J178" s="69">
        <f t="shared" si="1"/>
        <v>150000</v>
      </c>
      <c r="K178" s="71"/>
    </row>
    <row r="179" ht="17.25" customHeight="1">
      <c r="A179" s="61"/>
      <c r="B179" s="63" t="b">
        <v>0</v>
      </c>
      <c r="C179" s="64">
        <v>172.0</v>
      </c>
      <c r="D179" s="65">
        <v>45388.0</v>
      </c>
      <c r="E179" s="67" t="s">
        <v>269</v>
      </c>
      <c r="F179" s="67" t="s">
        <v>44</v>
      </c>
      <c r="G179" s="69">
        <f>SUMPRODUCT(('⚙️Pengaturan'!$C$3:$C$100=$F179)*('⚙️Pengaturan'!$D$3:$D$100))</f>
        <v>150000</v>
      </c>
      <c r="H179" s="70" t="s">
        <v>28</v>
      </c>
      <c r="I179" s="69"/>
      <c r="J179" s="69">
        <f t="shared" si="1"/>
        <v>150000</v>
      </c>
      <c r="K179" s="71"/>
    </row>
    <row r="180" ht="17.25" customHeight="1">
      <c r="A180" s="61"/>
      <c r="B180" s="63" t="b">
        <v>0</v>
      </c>
      <c r="C180" s="64">
        <v>173.0</v>
      </c>
      <c r="D180" s="65">
        <v>45388.0</v>
      </c>
      <c r="E180" s="67" t="s">
        <v>322</v>
      </c>
      <c r="F180" s="67" t="s">
        <v>67</v>
      </c>
      <c r="G180" s="69">
        <f>SUMPRODUCT(('⚙️Pengaturan'!$C$3:$C$100=$F180)*('⚙️Pengaturan'!$D$3:$D$100))</f>
        <v>1200000</v>
      </c>
      <c r="H180" s="70" t="s">
        <v>28</v>
      </c>
      <c r="I180" s="69"/>
      <c r="J180" s="69">
        <f t="shared" si="1"/>
        <v>1200000</v>
      </c>
      <c r="K180" s="71"/>
    </row>
    <row r="181" ht="17.25" customHeight="1">
      <c r="A181" s="61"/>
      <c r="B181" s="63" t="b">
        <v>0</v>
      </c>
      <c r="C181" s="64">
        <v>174.0</v>
      </c>
      <c r="D181" s="65">
        <v>45389.0</v>
      </c>
      <c r="E181" s="67" t="s">
        <v>324</v>
      </c>
      <c r="F181" s="67" t="s">
        <v>44</v>
      </c>
      <c r="G181" s="69">
        <f>SUMPRODUCT(('⚙️Pengaturan'!$C$3:$C$100=$F181)*('⚙️Pengaturan'!$D$3:$D$100))</f>
        <v>150000</v>
      </c>
      <c r="H181" s="70" t="s">
        <v>28</v>
      </c>
      <c r="I181" s="69"/>
      <c r="J181" s="69">
        <f t="shared" si="1"/>
        <v>150000</v>
      </c>
      <c r="K181" s="71"/>
    </row>
    <row r="182" ht="17.25" customHeight="1">
      <c r="A182" s="61"/>
      <c r="B182" s="63" t="b">
        <v>0</v>
      </c>
      <c r="C182" s="64">
        <v>175.0</v>
      </c>
      <c r="D182" s="65">
        <v>45397.0</v>
      </c>
      <c r="E182" s="67" t="s">
        <v>324</v>
      </c>
      <c r="F182" s="67" t="s">
        <v>44</v>
      </c>
      <c r="G182" s="69">
        <f>SUMPRODUCT(('⚙️Pengaturan'!$C$3:$C$100=$F182)*('⚙️Pengaturan'!$D$3:$D$100))</f>
        <v>150000</v>
      </c>
      <c r="H182" s="70" t="s">
        <v>28</v>
      </c>
      <c r="I182" s="69"/>
      <c r="J182" s="69">
        <f t="shared" si="1"/>
        <v>150000</v>
      </c>
      <c r="K182" s="71"/>
    </row>
    <row r="183" ht="17.25" customHeight="1">
      <c r="A183" s="61"/>
      <c r="B183" s="63" t="b">
        <v>0</v>
      </c>
      <c r="C183" s="64">
        <v>176.0</v>
      </c>
      <c r="D183" s="65">
        <v>45397.0</v>
      </c>
      <c r="E183" s="67" t="s">
        <v>266</v>
      </c>
      <c r="F183" s="67" t="s">
        <v>44</v>
      </c>
      <c r="G183" s="69">
        <f>SUMPRODUCT(('⚙️Pengaturan'!$C$3:$C$100=$F183)*('⚙️Pengaturan'!$D$3:$D$100))</f>
        <v>150000</v>
      </c>
      <c r="H183" s="70" t="s">
        <v>28</v>
      </c>
      <c r="I183" s="69"/>
      <c r="J183" s="69">
        <f t="shared" si="1"/>
        <v>150000</v>
      </c>
      <c r="K183" s="71"/>
    </row>
    <row r="184" ht="17.25" customHeight="1">
      <c r="A184" s="61"/>
      <c r="B184" s="63" t="b">
        <v>0</v>
      </c>
      <c r="C184" s="64">
        <v>177.0</v>
      </c>
      <c r="D184" s="65">
        <v>45397.0</v>
      </c>
      <c r="E184" s="67" t="s">
        <v>292</v>
      </c>
      <c r="F184" s="67" t="s">
        <v>44</v>
      </c>
      <c r="G184" s="69">
        <f>SUMPRODUCT(('⚙️Pengaturan'!$C$3:$C$100=$F184)*('⚙️Pengaturan'!$D$3:$D$100))</f>
        <v>150000</v>
      </c>
      <c r="H184" s="70" t="s">
        <v>28</v>
      </c>
      <c r="I184" s="69">
        <v>100000.0</v>
      </c>
      <c r="J184" s="69">
        <f t="shared" si="1"/>
        <v>50000</v>
      </c>
      <c r="K184" s="71"/>
    </row>
    <row r="185" ht="17.25" customHeight="1">
      <c r="A185" s="61"/>
      <c r="B185" s="63" t="b">
        <v>0</v>
      </c>
      <c r="C185" s="64">
        <v>178.0</v>
      </c>
      <c r="D185" s="65">
        <v>45397.0</v>
      </c>
      <c r="E185" s="67" t="s">
        <v>199</v>
      </c>
      <c r="F185" s="67" t="s">
        <v>67</v>
      </c>
      <c r="G185" s="69">
        <f>SUMPRODUCT(('⚙️Pengaturan'!$C$3:$C$100=$F185)*('⚙️Pengaturan'!$D$3:$D$100))</f>
        <v>1200000</v>
      </c>
      <c r="H185" s="70" t="s">
        <v>63</v>
      </c>
      <c r="I185" s="69">
        <v>800000.0</v>
      </c>
      <c r="J185" s="69">
        <f t="shared" si="1"/>
        <v>400000</v>
      </c>
      <c r="K185" s="71"/>
    </row>
    <row r="186" ht="17.25" customHeight="1">
      <c r="A186" s="61"/>
      <c r="B186" s="63" t="b">
        <v>0</v>
      </c>
      <c r="C186" s="64">
        <v>179.0</v>
      </c>
      <c r="D186" s="65">
        <v>45398.0</v>
      </c>
      <c r="E186" s="67" t="s">
        <v>355</v>
      </c>
      <c r="F186" s="67" t="s">
        <v>24</v>
      </c>
      <c r="G186" s="69">
        <f>SUMPRODUCT(('⚙️Pengaturan'!$C$3:$C$100=$F186)*('⚙️Pengaturan'!$D$3:$D$100))</f>
        <v>250000</v>
      </c>
      <c r="H186" s="70" t="s">
        <v>28</v>
      </c>
      <c r="I186" s="69"/>
      <c r="J186" s="69">
        <f t="shared" si="1"/>
        <v>250000</v>
      </c>
      <c r="K186" s="71"/>
    </row>
    <row r="187" ht="17.25" customHeight="1">
      <c r="A187" s="61"/>
      <c r="B187" s="63" t="b">
        <v>0</v>
      </c>
      <c r="C187" s="64">
        <v>180.0</v>
      </c>
      <c r="D187" s="65">
        <v>45398.0</v>
      </c>
      <c r="E187" s="67" t="s">
        <v>355</v>
      </c>
      <c r="F187" s="67" t="s">
        <v>67</v>
      </c>
      <c r="G187" s="69">
        <f>SUMPRODUCT(('⚙️Pengaturan'!$C$3:$C$100=$F187)*('⚙️Pengaturan'!$D$3:$D$100))</f>
        <v>1200000</v>
      </c>
      <c r="H187" s="70" t="s">
        <v>28</v>
      </c>
      <c r="I187" s="69"/>
      <c r="J187" s="69">
        <f t="shared" si="1"/>
        <v>1200000</v>
      </c>
      <c r="K187" s="71"/>
    </row>
    <row r="188" ht="17.25" customHeight="1">
      <c r="A188" s="61"/>
      <c r="B188" s="63" t="b">
        <v>0</v>
      </c>
      <c r="C188" s="64">
        <v>181.0</v>
      </c>
      <c r="D188" s="65">
        <v>45399.0</v>
      </c>
      <c r="E188" s="67" t="s">
        <v>356</v>
      </c>
      <c r="F188" s="67" t="s">
        <v>44</v>
      </c>
      <c r="G188" s="69">
        <f>SUMPRODUCT(('⚙️Pengaturan'!$C$3:$C$100=$F188)*('⚙️Pengaturan'!$D$3:$D$100))</f>
        <v>150000</v>
      </c>
      <c r="H188" s="70" t="s">
        <v>63</v>
      </c>
      <c r="I188" s="69"/>
      <c r="J188" s="69">
        <f t="shared" si="1"/>
        <v>150000</v>
      </c>
      <c r="K188" s="71"/>
    </row>
    <row r="189" ht="17.25" customHeight="1">
      <c r="A189" s="61"/>
      <c r="B189" s="63" t="b">
        <v>0</v>
      </c>
      <c r="C189" s="64">
        <v>182.0</v>
      </c>
      <c r="D189" s="65">
        <v>45400.0</v>
      </c>
      <c r="E189" s="67" t="s">
        <v>357</v>
      </c>
      <c r="F189" s="67" t="s">
        <v>24</v>
      </c>
      <c r="G189" s="69">
        <f>SUMPRODUCT(('⚙️Pengaturan'!$C$3:$C$100=$F189)*('⚙️Pengaturan'!$D$3:$D$100))</f>
        <v>250000</v>
      </c>
      <c r="H189" s="70" t="s">
        <v>28</v>
      </c>
      <c r="I189" s="69"/>
      <c r="J189" s="69">
        <f t="shared" si="1"/>
        <v>250000</v>
      </c>
      <c r="K189" s="71"/>
    </row>
    <row r="190" ht="17.25" customHeight="1">
      <c r="A190" s="61"/>
      <c r="B190" s="63" t="b">
        <v>0</v>
      </c>
      <c r="C190" s="64">
        <v>183.0</v>
      </c>
      <c r="D190" s="65">
        <v>45400.0</v>
      </c>
      <c r="E190" s="67" t="s">
        <v>266</v>
      </c>
      <c r="F190" s="67" t="s">
        <v>44</v>
      </c>
      <c r="G190" s="69">
        <f>SUMPRODUCT(('⚙️Pengaturan'!$C$3:$C$100=$F190)*('⚙️Pengaturan'!$D$3:$D$100))</f>
        <v>150000</v>
      </c>
      <c r="H190" s="70" t="s">
        <v>28</v>
      </c>
      <c r="I190" s="69"/>
      <c r="J190" s="69">
        <f t="shared" si="1"/>
        <v>150000</v>
      </c>
      <c r="K190" s="71"/>
    </row>
    <row r="191" ht="17.25" customHeight="1">
      <c r="A191" s="61"/>
      <c r="B191" s="63" t="b">
        <v>0</v>
      </c>
      <c r="C191" s="64">
        <v>184.0</v>
      </c>
      <c r="D191" s="65">
        <v>45400.0</v>
      </c>
      <c r="E191" s="67" t="s">
        <v>292</v>
      </c>
      <c r="F191" s="67" t="s">
        <v>44</v>
      </c>
      <c r="G191" s="69">
        <f>SUMPRODUCT(('⚙️Pengaturan'!$C$3:$C$100=$F191)*('⚙️Pengaturan'!$D$3:$D$100))</f>
        <v>150000</v>
      </c>
      <c r="H191" s="70" t="s">
        <v>28</v>
      </c>
      <c r="I191" s="69">
        <v>100000.0</v>
      </c>
      <c r="J191" s="69">
        <f t="shared" si="1"/>
        <v>50000</v>
      </c>
      <c r="K191" s="71"/>
    </row>
    <row r="192" ht="17.25" customHeight="1">
      <c r="A192" s="61"/>
      <c r="B192" s="63" t="b">
        <v>0</v>
      </c>
      <c r="C192" s="64">
        <v>185.0</v>
      </c>
      <c r="D192" s="65">
        <v>45402.0</v>
      </c>
      <c r="E192" s="67" t="s">
        <v>358</v>
      </c>
      <c r="F192" s="67" t="s">
        <v>24</v>
      </c>
      <c r="G192" s="69">
        <f>SUMPRODUCT(('⚙️Pengaturan'!$C$3:$C$100=$F192)*('⚙️Pengaturan'!$D$3:$D$100))</f>
        <v>250000</v>
      </c>
      <c r="H192" s="70" t="s">
        <v>28</v>
      </c>
      <c r="I192" s="69"/>
      <c r="J192" s="69">
        <f t="shared" si="1"/>
        <v>250000</v>
      </c>
      <c r="K192" s="71"/>
    </row>
    <row r="193" ht="17.25" customHeight="1">
      <c r="A193" s="61"/>
      <c r="B193" s="63" t="b">
        <v>0</v>
      </c>
      <c r="C193" s="64">
        <v>186.0</v>
      </c>
      <c r="D193" s="65">
        <v>45403.0</v>
      </c>
      <c r="E193" s="67" t="s">
        <v>324</v>
      </c>
      <c r="F193" s="67" t="s">
        <v>44</v>
      </c>
      <c r="G193" s="69">
        <f>SUMPRODUCT(('⚙️Pengaturan'!$C$3:$C$100=$F193)*('⚙️Pengaturan'!$D$3:$D$100))</f>
        <v>150000</v>
      </c>
      <c r="H193" s="70" t="s">
        <v>28</v>
      </c>
      <c r="I193" s="69"/>
      <c r="J193" s="69">
        <f t="shared" si="1"/>
        <v>150000</v>
      </c>
      <c r="K193" s="71"/>
    </row>
    <row r="194" ht="17.25" customHeight="1">
      <c r="A194" s="61"/>
      <c r="B194" s="63" t="b">
        <v>0</v>
      </c>
      <c r="C194" s="64">
        <v>187.0</v>
      </c>
      <c r="D194" s="65">
        <v>45404.0</v>
      </c>
      <c r="E194" s="67" t="s">
        <v>223</v>
      </c>
      <c r="F194" s="67" t="s">
        <v>44</v>
      </c>
      <c r="G194" s="69">
        <f>SUMPRODUCT(('⚙️Pengaturan'!$C$3:$C$100=$F194)*('⚙️Pengaturan'!$D$3:$D$100))</f>
        <v>150000</v>
      </c>
      <c r="H194" s="70" t="s">
        <v>28</v>
      </c>
      <c r="I194" s="69"/>
      <c r="J194" s="69">
        <f t="shared" si="1"/>
        <v>150000</v>
      </c>
      <c r="K194" s="71"/>
    </row>
    <row r="195" ht="17.25" customHeight="1">
      <c r="A195" s="61"/>
      <c r="B195" s="63" t="b">
        <v>0</v>
      </c>
      <c r="C195" s="64">
        <v>188.0</v>
      </c>
      <c r="D195" s="65">
        <v>45404.0</v>
      </c>
      <c r="E195" s="67" t="s">
        <v>357</v>
      </c>
      <c r="F195" s="67" t="s">
        <v>53</v>
      </c>
      <c r="G195" s="69">
        <f>SUMPRODUCT(('⚙️Pengaturan'!$C$3:$C$100=$F195)*('⚙️Pengaturan'!$D$3:$D$100))</f>
        <v>650000</v>
      </c>
      <c r="H195" s="70" t="s">
        <v>28</v>
      </c>
      <c r="I195" s="69"/>
      <c r="J195" s="69">
        <f t="shared" si="1"/>
        <v>650000</v>
      </c>
      <c r="K195" s="71"/>
    </row>
    <row r="196" ht="17.25" customHeight="1">
      <c r="A196" s="61"/>
      <c r="B196" s="63" t="b">
        <v>0</v>
      </c>
      <c r="C196" s="64">
        <v>189.0</v>
      </c>
      <c r="D196" s="65">
        <v>45404.0</v>
      </c>
      <c r="E196" s="67" t="s">
        <v>266</v>
      </c>
      <c r="F196" s="67" t="s">
        <v>44</v>
      </c>
      <c r="G196" s="69">
        <f>SUMPRODUCT(('⚙️Pengaturan'!$C$3:$C$100=$F196)*('⚙️Pengaturan'!$D$3:$D$100))</f>
        <v>150000</v>
      </c>
      <c r="H196" s="70" t="s">
        <v>28</v>
      </c>
      <c r="I196" s="69"/>
      <c r="J196" s="69">
        <f t="shared" si="1"/>
        <v>150000</v>
      </c>
      <c r="K196" s="71"/>
    </row>
    <row r="197" ht="17.25" customHeight="1">
      <c r="A197" s="61"/>
      <c r="B197" s="63" t="b">
        <v>0</v>
      </c>
      <c r="C197" s="64">
        <v>190.0</v>
      </c>
      <c r="D197" s="65">
        <v>45407.0</v>
      </c>
      <c r="E197" s="67" t="s">
        <v>358</v>
      </c>
      <c r="F197" s="67" t="s">
        <v>44</v>
      </c>
      <c r="G197" s="69">
        <f>SUMPRODUCT(('⚙️Pengaturan'!$C$3:$C$100=$F197)*('⚙️Pengaturan'!$D$3:$D$100))</f>
        <v>150000</v>
      </c>
      <c r="H197" s="70" t="s">
        <v>28</v>
      </c>
      <c r="I197" s="69"/>
      <c r="J197" s="69">
        <f t="shared" si="1"/>
        <v>150000</v>
      </c>
      <c r="K197" s="71"/>
    </row>
    <row r="198" ht="17.25" customHeight="1">
      <c r="A198" s="61"/>
      <c r="B198" s="63" t="b">
        <v>0</v>
      </c>
      <c r="C198" s="64">
        <v>191.0</v>
      </c>
      <c r="D198" s="65">
        <v>45409.0</v>
      </c>
      <c r="E198" s="67" t="s">
        <v>94</v>
      </c>
      <c r="F198" s="67" t="s">
        <v>44</v>
      </c>
      <c r="G198" s="69">
        <f>SUMPRODUCT(('⚙️Pengaturan'!$C$3:$C$100=$F198)*('⚙️Pengaturan'!$D$3:$D$100))</f>
        <v>150000</v>
      </c>
      <c r="H198" s="70" t="s">
        <v>28</v>
      </c>
      <c r="I198" s="69"/>
      <c r="J198" s="69">
        <f t="shared" si="1"/>
        <v>150000</v>
      </c>
      <c r="K198" s="71"/>
    </row>
    <row r="199" ht="17.25" customHeight="1">
      <c r="A199" s="61"/>
      <c r="B199" s="63" t="b">
        <v>0</v>
      </c>
      <c r="C199" s="64">
        <v>192.0</v>
      </c>
      <c r="D199" s="65">
        <v>45410.0</v>
      </c>
      <c r="E199" s="67" t="s">
        <v>199</v>
      </c>
      <c r="F199" s="67" t="s">
        <v>67</v>
      </c>
      <c r="G199" s="69">
        <f>SUMPRODUCT(('⚙️Pengaturan'!$C$3:$C$100=$F199)*('⚙️Pengaturan'!$D$3:$D$100))</f>
        <v>1200000</v>
      </c>
      <c r="H199" s="70" t="s">
        <v>28</v>
      </c>
      <c r="I199" s="69">
        <v>400000.0</v>
      </c>
      <c r="J199" s="69">
        <f t="shared" si="1"/>
        <v>800000</v>
      </c>
      <c r="K199" s="71"/>
    </row>
    <row r="200" ht="17.25" customHeight="1">
      <c r="A200" s="61"/>
      <c r="B200" s="63" t="b">
        <v>0</v>
      </c>
      <c r="C200" s="64">
        <v>193.0</v>
      </c>
      <c r="D200" s="65">
        <v>45411.0</v>
      </c>
      <c r="E200" s="67" t="s">
        <v>266</v>
      </c>
      <c r="F200" s="67" t="s">
        <v>44</v>
      </c>
      <c r="G200" s="69">
        <f>SUMPRODUCT(('⚙️Pengaturan'!$C$3:$C$100=$F200)*('⚙️Pengaturan'!$D$3:$D$100))</f>
        <v>150000</v>
      </c>
      <c r="H200" s="70" t="s">
        <v>28</v>
      </c>
      <c r="I200" s="69"/>
      <c r="J200" s="69">
        <f t="shared" si="1"/>
        <v>150000</v>
      </c>
      <c r="K200" s="71"/>
    </row>
    <row r="201" ht="17.25" customHeight="1">
      <c r="A201" s="61"/>
      <c r="B201" s="63" t="b">
        <v>0</v>
      </c>
      <c r="C201" s="64">
        <v>194.0</v>
      </c>
      <c r="D201" s="65">
        <v>45412.0</v>
      </c>
      <c r="E201" s="67" t="s">
        <v>359</v>
      </c>
      <c r="F201" s="67" t="s">
        <v>116</v>
      </c>
      <c r="G201" s="69">
        <f>SUMPRODUCT(('⚙️Pengaturan'!$C$3:$C$100=$F201)*('⚙️Pengaturan'!$D$3:$D$100))</f>
        <v>300000</v>
      </c>
      <c r="H201" s="70" t="s">
        <v>63</v>
      </c>
      <c r="I201" s="69"/>
      <c r="J201" s="69">
        <f t="shared" si="1"/>
        <v>300000</v>
      </c>
      <c r="K201" s="71"/>
    </row>
    <row r="202" ht="17.25" customHeight="1">
      <c r="A202" s="61"/>
      <c r="B202" s="63" t="b">
        <v>0</v>
      </c>
      <c r="C202" s="64">
        <v>195.0</v>
      </c>
      <c r="D202" s="65">
        <v>45412.0</v>
      </c>
      <c r="E202" s="67" t="s">
        <v>359</v>
      </c>
      <c r="F202" s="67" t="s">
        <v>133</v>
      </c>
      <c r="G202" s="69">
        <f>SUMPRODUCT(('⚙️Pengaturan'!$C$3:$C$100=$F202)*('⚙️Pengaturan'!$D$3:$D$100))</f>
        <v>1800000</v>
      </c>
      <c r="H202" s="70" t="s">
        <v>63</v>
      </c>
      <c r="I202" s="69"/>
      <c r="J202" s="69">
        <f t="shared" si="1"/>
        <v>1800000</v>
      </c>
      <c r="K202" s="71"/>
    </row>
    <row r="203" ht="17.25" customHeight="1">
      <c r="A203" s="61"/>
      <c r="B203" s="63" t="b">
        <v>0</v>
      </c>
      <c r="C203" s="64">
        <v>196.0</v>
      </c>
      <c r="D203" s="65">
        <v>45412.0</v>
      </c>
      <c r="E203" s="67" t="s">
        <v>360</v>
      </c>
      <c r="F203" s="67" t="s">
        <v>24</v>
      </c>
      <c r="G203" s="69">
        <f>SUMPRODUCT(('⚙️Pengaturan'!$C$3:$C$100=$F203)*('⚙️Pengaturan'!$D$3:$D$100))</f>
        <v>250000</v>
      </c>
      <c r="H203" s="70" t="s">
        <v>28</v>
      </c>
      <c r="I203" s="69"/>
      <c r="J203" s="69">
        <f t="shared" si="1"/>
        <v>250000</v>
      </c>
      <c r="K203" s="71"/>
    </row>
    <row r="204" ht="17.25" customHeight="1">
      <c r="A204" s="61"/>
      <c r="B204" s="63" t="b">
        <v>0</v>
      </c>
      <c r="C204" s="64">
        <v>197.0</v>
      </c>
      <c r="D204" s="65">
        <v>45412.0</v>
      </c>
      <c r="E204" s="67" t="s">
        <v>361</v>
      </c>
      <c r="F204" s="67" t="s">
        <v>24</v>
      </c>
      <c r="G204" s="69">
        <f>SUMPRODUCT(('⚙️Pengaturan'!$C$3:$C$100=$F204)*('⚙️Pengaturan'!$D$3:$D$100))</f>
        <v>250000</v>
      </c>
      <c r="H204" s="70" t="s">
        <v>28</v>
      </c>
      <c r="I204" s="69"/>
      <c r="J204" s="69">
        <f t="shared" si="1"/>
        <v>250000</v>
      </c>
      <c r="K204" s="71"/>
    </row>
    <row r="205" ht="17.25" customHeight="1">
      <c r="A205" s="61"/>
      <c r="B205" s="63" t="b">
        <v>0</v>
      </c>
      <c r="C205" s="64">
        <v>198.0</v>
      </c>
      <c r="D205" s="65">
        <v>45416.0</v>
      </c>
      <c r="E205" s="67" t="s">
        <v>269</v>
      </c>
      <c r="F205" s="67" t="s">
        <v>44</v>
      </c>
      <c r="G205" s="69">
        <f>SUMPRODUCT(('⚙️Pengaturan'!$C$3:$C$100=$F205)*('⚙️Pengaturan'!$D$3:$D$100))</f>
        <v>150000</v>
      </c>
      <c r="H205" s="70" t="s">
        <v>28</v>
      </c>
      <c r="I205" s="69"/>
      <c r="J205" s="69">
        <f t="shared" si="1"/>
        <v>150000</v>
      </c>
      <c r="K205" s="71"/>
    </row>
    <row r="206" ht="17.25" customHeight="1">
      <c r="A206" s="61"/>
      <c r="B206" s="63" t="b">
        <v>0</v>
      </c>
      <c r="C206" s="64">
        <v>199.0</v>
      </c>
      <c r="D206" s="65">
        <v>45416.0</v>
      </c>
      <c r="E206" s="67" t="s">
        <v>362</v>
      </c>
      <c r="F206" s="67" t="s">
        <v>44</v>
      </c>
      <c r="G206" s="69">
        <f>SUMPRODUCT(('⚙️Pengaturan'!$C$3:$C$100=$F206)*('⚙️Pengaturan'!$D$3:$D$100))</f>
        <v>150000</v>
      </c>
      <c r="H206" s="70" t="s">
        <v>28</v>
      </c>
      <c r="I206" s="69"/>
      <c r="J206" s="69">
        <f t="shared" si="1"/>
        <v>150000</v>
      </c>
      <c r="K206" s="71"/>
    </row>
    <row r="207" ht="17.25" customHeight="1">
      <c r="A207" s="61"/>
      <c r="B207" s="63" t="b">
        <v>0</v>
      </c>
      <c r="C207" s="64">
        <v>200.0</v>
      </c>
      <c r="D207" s="65">
        <v>45416.0</v>
      </c>
      <c r="E207" s="67" t="s">
        <v>363</v>
      </c>
      <c r="F207" s="67" t="s">
        <v>24</v>
      </c>
      <c r="G207" s="69">
        <f>SUMPRODUCT(('⚙️Pengaturan'!$C$3:$C$100=$F207)*('⚙️Pengaturan'!$D$3:$D$100))</f>
        <v>250000</v>
      </c>
      <c r="H207" s="70" t="s">
        <v>63</v>
      </c>
      <c r="I207" s="69"/>
      <c r="J207" s="69">
        <f t="shared" si="1"/>
        <v>250000</v>
      </c>
      <c r="K207" s="71"/>
    </row>
    <row r="208" ht="17.25" customHeight="1">
      <c r="A208" s="61"/>
      <c r="B208" s="63" t="b">
        <v>0</v>
      </c>
      <c r="C208" s="64">
        <v>201.0</v>
      </c>
      <c r="D208" s="65">
        <v>45416.0</v>
      </c>
      <c r="E208" s="67" t="s">
        <v>363</v>
      </c>
      <c r="F208" s="67" t="s">
        <v>53</v>
      </c>
      <c r="G208" s="69">
        <f>SUMPRODUCT(('⚙️Pengaturan'!$C$3:$C$100=$F208)*('⚙️Pengaturan'!$D$3:$D$100))</f>
        <v>650000</v>
      </c>
      <c r="H208" s="70" t="s">
        <v>63</v>
      </c>
      <c r="I208" s="69"/>
      <c r="J208" s="69">
        <f t="shared" si="1"/>
        <v>650000</v>
      </c>
      <c r="K208" s="71"/>
    </row>
    <row r="209" ht="17.25" customHeight="1">
      <c r="A209" s="61"/>
      <c r="B209" s="63" t="b">
        <v>0</v>
      </c>
      <c r="C209" s="64">
        <v>202.0</v>
      </c>
      <c r="D209" s="65">
        <v>45417.0</v>
      </c>
      <c r="E209" s="67" t="s">
        <v>94</v>
      </c>
      <c r="F209" s="67" t="s">
        <v>53</v>
      </c>
      <c r="G209" s="69">
        <f>SUMPRODUCT(('⚙️Pengaturan'!$C$3:$C$100=$F209)*('⚙️Pengaturan'!$D$3:$D$100))</f>
        <v>650000</v>
      </c>
      <c r="H209" s="70" t="s">
        <v>28</v>
      </c>
      <c r="I209" s="69">
        <v>350000.0</v>
      </c>
      <c r="J209" s="69">
        <f t="shared" si="1"/>
        <v>300000</v>
      </c>
      <c r="K209" s="71"/>
    </row>
    <row r="210" ht="17.25" customHeight="1">
      <c r="A210" s="61"/>
      <c r="B210" s="63" t="b">
        <v>0</v>
      </c>
      <c r="C210" s="64">
        <v>203.0</v>
      </c>
      <c r="D210" s="65">
        <v>45417.0</v>
      </c>
      <c r="E210" s="67" t="s">
        <v>364</v>
      </c>
      <c r="F210" s="67" t="s">
        <v>53</v>
      </c>
      <c r="G210" s="69">
        <f>SUMPRODUCT(('⚙️Pengaturan'!$C$3:$C$100=$F210)*('⚙️Pengaturan'!$D$3:$D$100))</f>
        <v>650000</v>
      </c>
      <c r="H210" s="70" t="s">
        <v>63</v>
      </c>
      <c r="I210" s="69"/>
      <c r="J210" s="69">
        <f t="shared" si="1"/>
        <v>650000</v>
      </c>
      <c r="K210" s="71"/>
    </row>
    <row r="211" ht="17.25" customHeight="1">
      <c r="A211" s="61"/>
      <c r="B211" s="63" t="b">
        <v>0</v>
      </c>
      <c r="C211" s="64">
        <v>204.0</v>
      </c>
      <c r="D211" s="65">
        <v>45417.0</v>
      </c>
      <c r="E211" s="67" t="s">
        <v>365</v>
      </c>
      <c r="F211" s="67" t="s">
        <v>24</v>
      </c>
      <c r="G211" s="69">
        <f>SUMPRODUCT(('⚙️Pengaturan'!$C$3:$C$100=$F211)*('⚙️Pengaturan'!$D$3:$D$100))</f>
        <v>250000</v>
      </c>
      <c r="H211" s="70" t="s">
        <v>63</v>
      </c>
      <c r="I211" s="69"/>
      <c r="J211" s="69">
        <f t="shared" si="1"/>
        <v>250000</v>
      </c>
      <c r="K211" s="71"/>
    </row>
    <row r="212" ht="17.25" customHeight="1">
      <c r="A212" s="61"/>
      <c r="B212" s="63" t="b">
        <v>0</v>
      </c>
      <c r="C212" s="64">
        <v>205.0</v>
      </c>
      <c r="D212" s="65">
        <v>45418.0</v>
      </c>
      <c r="E212" s="67" t="s">
        <v>366</v>
      </c>
      <c r="F212" s="67" t="s">
        <v>24</v>
      </c>
      <c r="G212" s="69">
        <f>SUMPRODUCT(('⚙️Pengaturan'!$C$3:$C$100=$F212)*('⚙️Pengaturan'!$D$3:$D$100))</f>
        <v>250000</v>
      </c>
      <c r="H212" s="70" t="s">
        <v>28</v>
      </c>
      <c r="I212" s="69"/>
      <c r="J212" s="69">
        <f t="shared" si="1"/>
        <v>250000</v>
      </c>
      <c r="K212" s="71"/>
    </row>
    <row r="213" ht="17.25" customHeight="1">
      <c r="A213" s="61"/>
      <c r="B213" s="63" t="b">
        <v>0</v>
      </c>
      <c r="C213" s="64">
        <v>206.0</v>
      </c>
      <c r="D213" s="65">
        <v>45418.0</v>
      </c>
      <c r="E213" s="67" t="s">
        <v>322</v>
      </c>
      <c r="F213" s="67" t="s">
        <v>53</v>
      </c>
      <c r="G213" s="69">
        <f>SUMPRODUCT(('⚙️Pengaturan'!$C$3:$C$100=$F213)*('⚙️Pengaturan'!$D$3:$D$100))</f>
        <v>650000</v>
      </c>
      <c r="H213" s="70" t="s">
        <v>63</v>
      </c>
      <c r="I213" s="69"/>
      <c r="J213" s="69">
        <f t="shared" si="1"/>
        <v>650000</v>
      </c>
      <c r="K213" s="71"/>
    </row>
    <row r="214" ht="17.25" customHeight="1">
      <c r="A214" s="61"/>
      <c r="B214" s="63" t="b">
        <v>0</v>
      </c>
      <c r="C214" s="64">
        <v>207.0</v>
      </c>
      <c r="D214" s="65">
        <v>45418.0</v>
      </c>
      <c r="E214" s="67" t="s">
        <v>367</v>
      </c>
      <c r="F214" s="67" t="s">
        <v>24</v>
      </c>
      <c r="G214" s="69">
        <f>SUMPRODUCT(('⚙️Pengaturan'!$C$3:$C$100=$F214)*('⚙️Pengaturan'!$D$3:$D$100))</f>
        <v>250000</v>
      </c>
      <c r="H214" s="70" t="s">
        <v>28</v>
      </c>
      <c r="I214" s="69"/>
      <c r="J214" s="69">
        <f t="shared" si="1"/>
        <v>250000</v>
      </c>
      <c r="K214" s="71"/>
    </row>
    <row r="215" ht="17.25" customHeight="1">
      <c r="A215" s="61"/>
      <c r="B215" s="63" t="b">
        <v>0</v>
      </c>
      <c r="C215" s="64">
        <v>208.0</v>
      </c>
      <c r="D215" s="65">
        <v>45418.0</v>
      </c>
      <c r="E215" s="67" t="s">
        <v>266</v>
      </c>
      <c r="F215" s="67" t="s">
        <v>44</v>
      </c>
      <c r="G215" s="69">
        <f>SUMPRODUCT(('⚙️Pengaturan'!$C$3:$C$100=$F215)*('⚙️Pengaturan'!$D$3:$D$100))</f>
        <v>150000</v>
      </c>
      <c r="H215" s="70" t="s">
        <v>28</v>
      </c>
      <c r="I215" s="69"/>
      <c r="J215" s="69">
        <f t="shared" si="1"/>
        <v>150000</v>
      </c>
      <c r="K215" s="71"/>
    </row>
    <row r="216" ht="17.25" customHeight="1">
      <c r="A216" s="61"/>
      <c r="B216" s="63" t="b">
        <v>0</v>
      </c>
      <c r="C216" s="64">
        <v>209.0</v>
      </c>
      <c r="D216" s="65">
        <v>45418.0</v>
      </c>
      <c r="E216" s="67" t="s">
        <v>358</v>
      </c>
      <c r="F216" s="67" t="s">
        <v>44</v>
      </c>
      <c r="G216" s="69">
        <f>SUMPRODUCT(('⚙️Pengaturan'!$C$3:$C$100=$F216)*('⚙️Pengaturan'!$D$3:$D$100))</f>
        <v>150000</v>
      </c>
      <c r="H216" s="70" t="s">
        <v>28</v>
      </c>
      <c r="I216" s="69"/>
      <c r="J216" s="69">
        <f t="shared" si="1"/>
        <v>150000</v>
      </c>
      <c r="K216" s="71"/>
    </row>
    <row r="217" ht="17.25" customHeight="1">
      <c r="A217" s="61"/>
      <c r="B217" s="63" t="b">
        <v>0</v>
      </c>
      <c r="C217" s="64">
        <v>210.0</v>
      </c>
      <c r="D217" s="65">
        <v>45420.0</v>
      </c>
      <c r="E217" s="67" t="s">
        <v>94</v>
      </c>
      <c r="F217" s="67" t="s">
        <v>53</v>
      </c>
      <c r="G217" s="69">
        <f>SUMPRODUCT(('⚙️Pengaturan'!$C$3:$C$100=$F217)*('⚙️Pengaturan'!$D$3:$D$100))</f>
        <v>650000</v>
      </c>
      <c r="H217" s="70" t="s">
        <v>28</v>
      </c>
      <c r="I217" s="69">
        <v>300000.0</v>
      </c>
      <c r="J217" s="69">
        <f t="shared" si="1"/>
        <v>350000</v>
      </c>
      <c r="K217" s="71"/>
    </row>
    <row r="218" ht="17.25" customHeight="1">
      <c r="A218" s="61"/>
      <c r="B218" s="63" t="b">
        <v>0</v>
      </c>
      <c r="C218" s="64">
        <v>211.0</v>
      </c>
      <c r="D218" s="65">
        <v>45420.0</v>
      </c>
      <c r="E218" s="67" t="s">
        <v>365</v>
      </c>
      <c r="F218" s="67" t="s">
        <v>53</v>
      </c>
      <c r="G218" s="69">
        <f>SUMPRODUCT(('⚙️Pengaturan'!$C$3:$C$100=$F218)*('⚙️Pengaturan'!$D$3:$D$100))</f>
        <v>650000</v>
      </c>
      <c r="H218" s="70" t="s">
        <v>63</v>
      </c>
      <c r="I218" s="69"/>
      <c r="J218" s="69">
        <f t="shared" si="1"/>
        <v>650000</v>
      </c>
      <c r="K218" s="71"/>
    </row>
    <row r="219" ht="17.25" customHeight="1">
      <c r="A219" s="61"/>
      <c r="B219" s="63" t="b">
        <v>0</v>
      </c>
      <c r="C219" s="64">
        <v>212.0</v>
      </c>
      <c r="D219" s="65">
        <v>45423.0</v>
      </c>
      <c r="E219" s="67" t="s">
        <v>366</v>
      </c>
      <c r="F219" s="67" t="s">
        <v>53</v>
      </c>
      <c r="G219" s="69">
        <f>SUMPRODUCT(('⚙️Pengaturan'!$C$3:$C$100=$F219)*('⚙️Pengaturan'!$D$3:$D$100))</f>
        <v>650000</v>
      </c>
      <c r="H219" s="70" t="s">
        <v>28</v>
      </c>
      <c r="I219" s="69">
        <v>350000.0</v>
      </c>
      <c r="J219" s="69">
        <f t="shared" si="1"/>
        <v>300000</v>
      </c>
      <c r="K219" s="71"/>
    </row>
    <row r="220" ht="17.25" customHeight="1">
      <c r="A220" s="61"/>
      <c r="B220" s="63" t="b">
        <v>0</v>
      </c>
      <c r="C220" s="64">
        <v>213.0</v>
      </c>
      <c r="D220" s="65">
        <v>45423.0</v>
      </c>
      <c r="E220" s="67" t="s">
        <v>367</v>
      </c>
      <c r="F220" s="67" t="s">
        <v>53</v>
      </c>
      <c r="G220" s="69">
        <f>SUMPRODUCT(('⚙️Pengaturan'!$C$3:$C$100=$F220)*('⚙️Pengaturan'!$D$3:$D$100))</f>
        <v>650000</v>
      </c>
      <c r="H220" s="70" t="s">
        <v>28</v>
      </c>
      <c r="I220" s="69"/>
      <c r="J220" s="69">
        <f t="shared" si="1"/>
        <v>650000</v>
      </c>
      <c r="K220" s="71"/>
    </row>
    <row r="221" ht="17.25" customHeight="1">
      <c r="A221" s="61"/>
      <c r="B221" s="63" t="b">
        <v>0</v>
      </c>
      <c r="C221" s="64">
        <v>214.0</v>
      </c>
      <c r="D221" s="65">
        <v>45424.0</v>
      </c>
      <c r="E221" s="67" t="s">
        <v>368</v>
      </c>
      <c r="F221" s="67" t="s">
        <v>24</v>
      </c>
      <c r="G221" s="69">
        <f>SUMPRODUCT(('⚙️Pengaturan'!$C$3:$C$100=$F221)*('⚙️Pengaturan'!$D$3:$D$100))</f>
        <v>250000</v>
      </c>
      <c r="H221" s="70" t="s">
        <v>28</v>
      </c>
      <c r="I221" s="69"/>
      <c r="J221" s="69">
        <f t="shared" si="1"/>
        <v>250000</v>
      </c>
      <c r="K221" s="71"/>
    </row>
    <row r="222" ht="17.25" customHeight="1">
      <c r="A222" s="61"/>
      <c r="B222" s="63" t="b">
        <v>0</v>
      </c>
      <c r="C222" s="64">
        <v>215.0</v>
      </c>
      <c r="D222" s="65">
        <v>45425.0</v>
      </c>
      <c r="E222" s="67" t="s">
        <v>266</v>
      </c>
      <c r="F222" s="67" t="s">
        <v>44</v>
      </c>
      <c r="G222" s="69">
        <f>SUMPRODUCT(('⚙️Pengaturan'!$C$3:$C$100=$F222)*('⚙️Pengaturan'!$D$3:$D$100))</f>
        <v>150000</v>
      </c>
      <c r="H222" s="70" t="s">
        <v>28</v>
      </c>
      <c r="I222" s="69"/>
      <c r="J222" s="69">
        <f t="shared" si="1"/>
        <v>150000</v>
      </c>
      <c r="K222" s="71"/>
    </row>
    <row r="223" ht="17.25" customHeight="1">
      <c r="A223" s="61"/>
      <c r="B223" s="63" t="b">
        <v>0</v>
      </c>
      <c r="C223" s="64">
        <v>216.0</v>
      </c>
      <c r="D223" s="65">
        <v>45427.0</v>
      </c>
      <c r="E223" s="67" t="s">
        <v>369</v>
      </c>
      <c r="F223" s="67" t="s">
        <v>24</v>
      </c>
      <c r="G223" s="69">
        <f>SUMPRODUCT(('⚙️Pengaturan'!$C$3:$C$100=$F223)*('⚙️Pengaturan'!$D$3:$D$100))</f>
        <v>250000</v>
      </c>
      <c r="H223" s="70" t="s">
        <v>28</v>
      </c>
      <c r="I223" s="69"/>
      <c r="J223" s="69">
        <f t="shared" si="1"/>
        <v>250000</v>
      </c>
      <c r="K223" s="71"/>
    </row>
    <row r="224" ht="17.25" customHeight="1">
      <c r="A224" s="61"/>
      <c r="B224" s="63" t="b">
        <v>0</v>
      </c>
      <c r="C224" s="64">
        <v>217.0</v>
      </c>
      <c r="D224" s="65">
        <v>45427.0</v>
      </c>
      <c r="E224" s="67" t="s">
        <v>368</v>
      </c>
      <c r="F224" s="67" t="s">
        <v>44</v>
      </c>
      <c r="G224" s="69">
        <f>SUMPRODUCT(('⚙️Pengaturan'!$C$3:$C$100=$F224)*('⚙️Pengaturan'!$D$3:$D$100))</f>
        <v>150000</v>
      </c>
      <c r="H224" s="70" t="s">
        <v>28</v>
      </c>
      <c r="I224" s="69"/>
      <c r="J224" s="69">
        <f t="shared" si="1"/>
        <v>150000</v>
      </c>
      <c r="K224" s="71"/>
    </row>
    <row r="225" ht="17.25" customHeight="1">
      <c r="A225" s="61"/>
      <c r="B225" s="63" t="b">
        <v>0</v>
      </c>
      <c r="C225" s="64">
        <v>218.0</v>
      </c>
      <c r="D225" s="65">
        <v>45427.0</v>
      </c>
      <c r="E225" s="67" t="s">
        <v>370</v>
      </c>
      <c r="F225" s="67" t="s">
        <v>24</v>
      </c>
      <c r="G225" s="69">
        <f>SUMPRODUCT(('⚙️Pengaturan'!$C$3:$C$100=$F225)*('⚙️Pengaturan'!$D$3:$D$100))</f>
        <v>250000</v>
      </c>
      <c r="H225" s="70" t="s">
        <v>28</v>
      </c>
      <c r="I225" s="69"/>
      <c r="J225" s="69">
        <f t="shared" si="1"/>
        <v>250000</v>
      </c>
      <c r="K225" s="71"/>
    </row>
    <row r="226" ht="17.25" customHeight="1">
      <c r="A226" s="61"/>
      <c r="B226" s="63" t="b">
        <v>0</v>
      </c>
      <c r="C226" s="64">
        <v>219.0</v>
      </c>
      <c r="D226" s="65">
        <v>45427.0</v>
      </c>
      <c r="E226" s="67" t="s">
        <v>324</v>
      </c>
      <c r="F226" s="67" t="s">
        <v>44</v>
      </c>
      <c r="G226" s="69">
        <f>SUMPRODUCT(('⚙️Pengaturan'!$C$3:$C$100=$F226)*('⚙️Pengaturan'!$D$3:$D$100))</f>
        <v>150000</v>
      </c>
      <c r="H226" s="70" t="s">
        <v>28</v>
      </c>
      <c r="I226" s="69"/>
      <c r="J226" s="69">
        <f t="shared" si="1"/>
        <v>150000</v>
      </c>
      <c r="K226" s="71"/>
    </row>
    <row r="227" ht="17.25" customHeight="1">
      <c r="A227" s="61"/>
      <c r="B227" s="63" t="b">
        <v>0</v>
      </c>
      <c r="C227" s="64">
        <v>220.0</v>
      </c>
      <c r="D227" s="65">
        <v>45428.0</v>
      </c>
      <c r="E227" s="67" t="s">
        <v>371</v>
      </c>
      <c r="F227" s="67" t="s">
        <v>24</v>
      </c>
      <c r="G227" s="69">
        <f>SUMPRODUCT(('⚙️Pengaturan'!$C$3:$C$100=$F227)*('⚙️Pengaturan'!$D$3:$D$100))</f>
        <v>250000</v>
      </c>
      <c r="H227" s="70" t="s">
        <v>63</v>
      </c>
      <c r="I227" s="69"/>
      <c r="J227" s="69">
        <f t="shared" si="1"/>
        <v>250000</v>
      </c>
      <c r="K227" s="71"/>
    </row>
    <row r="228" ht="17.25" customHeight="1">
      <c r="A228" s="61"/>
      <c r="B228" s="63" t="b">
        <v>0</v>
      </c>
      <c r="C228" s="64">
        <v>221.0</v>
      </c>
      <c r="D228" s="65">
        <v>45428.0</v>
      </c>
      <c r="E228" s="186" t="s">
        <v>372</v>
      </c>
      <c r="F228" s="67" t="s">
        <v>24</v>
      </c>
      <c r="G228" s="69">
        <f>SUMPRODUCT(('⚙️Pengaturan'!$C$3:$C$100=$F228)*('⚙️Pengaturan'!$D$3:$D$100))</f>
        <v>250000</v>
      </c>
      <c r="H228" s="70" t="s">
        <v>28</v>
      </c>
      <c r="I228" s="69"/>
      <c r="J228" s="69">
        <f t="shared" si="1"/>
        <v>250000</v>
      </c>
      <c r="K228" s="71"/>
    </row>
    <row r="229" ht="17.25" customHeight="1">
      <c r="A229" s="61"/>
      <c r="B229" s="63" t="b">
        <v>0</v>
      </c>
      <c r="C229" s="64">
        <v>222.0</v>
      </c>
      <c r="D229" s="65">
        <v>45430.0</v>
      </c>
      <c r="E229" s="67" t="s">
        <v>366</v>
      </c>
      <c r="F229" s="67" t="s">
        <v>53</v>
      </c>
      <c r="G229" s="69">
        <f>SUMPRODUCT(('⚙️Pengaturan'!$C$3:$C$100=$F229)*('⚙️Pengaturan'!$D$3:$D$100))</f>
        <v>650000</v>
      </c>
      <c r="H229" s="70" t="s">
        <v>28</v>
      </c>
      <c r="I229" s="69">
        <v>300000.0</v>
      </c>
      <c r="J229" s="69">
        <f t="shared" si="1"/>
        <v>350000</v>
      </c>
      <c r="K229" s="71"/>
    </row>
    <row r="230" ht="17.25" customHeight="1">
      <c r="A230" s="61"/>
      <c r="B230" s="63" t="b">
        <v>0</v>
      </c>
      <c r="C230" s="64">
        <v>223.0</v>
      </c>
      <c r="D230" s="65">
        <v>45432.0</v>
      </c>
      <c r="E230" s="67" t="s">
        <v>368</v>
      </c>
      <c r="F230" s="67" t="s">
        <v>44</v>
      </c>
      <c r="G230" s="69">
        <f>SUMPRODUCT(('⚙️Pengaturan'!$C$3:$C$100=$F230)*('⚙️Pengaturan'!$D$3:$D$100))</f>
        <v>150000</v>
      </c>
      <c r="H230" s="70" t="s">
        <v>28</v>
      </c>
      <c r="I230" s="69"/>
      <c r="J230" s="69">
        <f t="shared" si="1"/>
        <v>150000</v>
      </c>
      <c r="K230" s="71"/>
    </row>
    <row r="231" ht="17.25" customHeight="1">
      <c r="A231" s="61"/>
      <c r="B231" s="63" t="b">
        <v>0</v>
      </c>
      <c r="C231" s="64">
        <v>224.0</v>
      </c>
      <c r="D231" s="65">
        <v>45432.0</v>
      </c>
      <c r="E231" s="67" t="s">
        <v>266</v>
      </c>
      <c r="F231" s="67" t="s">
        <v>44</v>
      </c>
      <c r="G231" s="69">
        <f>SUMPRODUCT(('⚙️Pengaturan'!$C$3:$C$100=$F231)*('⚙️Pengaturan'!$D$3:$D$100))</f>
        <v>150000</v>
      </c>
      <c r="H231" s="70" t="s">
        <v>28</v>
      </c>
      <c r="I231" s="69"/>
      <c r="J231" s="69">
        <f t="shared" si="1"/>
        <v>150000</v>
      </c>
      <c r="K231" s="71"/>
    </row>
    <row r="232" ht="17.25" customHeight="1">
      <c r="A232" s="61"/>
      <c r="B232" s="63" t="b">
        <v>0</v>
      </c>
      <c r="C232" s="64">
        <v>225.0</v>
      </c>
      <c r="D232" s="65">
        <v>45433.0</v>
      </c>
      <c r="E232" s="67" t="s">
        <v>369</v>
      </c>
      <c r="F232" s="67" t="s">
        <v>44</v>
      </c>
      <c r="G232" s="69">
        <f>SUMPRODUCT(('⚙️Pengaturan'!$C$3:$C$100=$F232)*('⚙️Pengaturan'!$D$3:$D$100))</f>
        <v>150000</v>
      </c>
      <c r="H232" s="70" t="s">
        <v>28</v>
      </c>
      <c r="I232" s="69"/>
      <c r="J232" s="69">
        <f t="shared" si="1"/>
        <v>150000</v>
      </c>
      <c r="K232" s="71"/>
    </row>
    <row r="233" ht="17.25" customHeight="1">
      <c r="A233" s="61"/>
      <c r="B233" s="63" t="b">
        <v>0</v>
      </c>
      <c r="C233" s="64">
        <v>226.0</v>
      </c>
      <c r="D233" s="65">
        <v>45433.0</v>
      </c>
      <c r="E233" s="67" t="s">
        <v>373</v>
      </c>
      <c r="F233" s="67" t="s">
        <v>24</v>
      </c>
      <c r="G233" s="69">
        <f>SUMPRODUCT(('⚙️Pengaturan'!$C$3:$C$100=$F233)*('⚙️Pengaturan'!$D$3:$D$100))</f>
        <v>250000</v>
      </c>
      <c r="H233" s="70" t="s">
        <v>28</v>
      </c>
      <c r="I233" s="69"/>
      <c r="J233" s="69">
        <f t="shared" si="1"/>
        <v>250000</v>
      </c>
      <c r="K233" s="71"/>
    </row>
    <row r="234" ht="17.25" customHeight="1">
      <c r="A234" s="61"/>
      <c r="B234" s="63" t="b">
        <v>0</v>
      </c>
      <c r="C234" s="64">
        <v>227.0</v>
      </c>
      <c r="D234" s="65">
        <v>45433.0</v>
      </c>
      <c r="E234" s="67" t="s">
        <v>199</v>
      </c>
      <c r="F234" s="67" t="s">
        <v>67</v>
      </c>
      <c r="G234" s="69">
        <f>SUMPRODUCT(('⚙️Pengaturan'!$C$3:$C$100=$F234)*('⚙️Pengaturan'!$D$3:$D$100))</f>
        <v>1200000</v>
      </c>
      <c r="H234" s="70" t="s">
        <v>63</v>
      </c>
      <c r="I234" s="69">
        <v>950000.0</v>
      </c>
      <c r="J234" s="69">
        <f t="shared" si="1"/>
        <v>250000</v>
      </c>
      <c r="K234" s="71"/>
    </row>
    <row r="235" ht="17.25" customHeight="1">
      <c r="A235" s="61"/>
      <c r="B235" s="63" t="b">
        <v>0</v>
      </c>
      <c r="C235" s="64">
        <v>228.0</v>
      </c>
      <c r="D235" s="65">
        <v>45434.0</v>
      </c>
      <c r="E235" s="67" t="s">
        <v>374</v>
      </c>
      <c r="F235" s="67" t="s">
        <v>343</v>
      </c>
      <c r="G235" s="69">
        <f>SUMPRODUCT(('⚙️Pengaturan'!$C$3:$C$100=$F235)*('⚙️Pengaturan'!$D$3:$D$100))</f>
        <v>350000</v>
      </c>
      <c r="H235" s="70" t="s">
        <v>28</v>
      </c>
      <c r="I235" s="69"/>
      <c r="J235" s="69">
        <f t="shared" si="1"/>
        <v>350000</v>
      </c>
      <c r="K235" s="71"/>
    </row>
    <row r="236" ht="17.25" customHeight="1">
      <c r="A236" s="61"/>
      <c r="B236" s="63" t="b">
        <v>0</v>
      </c>
      <c r="C236" s="64">
        <v>229.0</v>
      </c>
      <c r="D236" s="65">
        <v>45434.0</v>
      </c>
      <c r="E236" s="67" t="s">
        <v>375</v>
      </c>
      <c r="F236" s="67" t="s">
        <v>24</v>
      </c>
      <c r="G236" s="69">
        <f>SUMPRODUCT(('⚙️Pengaturan'!$C$3:$C$100=$F236)*('⚙️Pengaturan'!$D$3:$D$100))</f>
        <v>250000</v>
      </c>
      <c r="H236" s="70" t="s">
        <v>28</v>
      </c>
      <c r="I236" s="69"/>
      <c r="J236" s="69">
        <f t="shared" si="1"/>
        <v>250000</v>
      </c>
      <c r="K236" s="71"/>
    </row>
    <row r="237" ht="17.25" customHeight="1">
      <c r="A237" s="61"/>
      <c r="B237" s="63" t="b">
        <v>0</v>
      </c>
      <c r="C237" s="64">
        <v>230.0</v>
      </c>
      <c r="D237" s="65">
        <v>45434.0</v>
      </c>
      <c r="E237" s="67" t="s">
        <v>376</v>
      </c>
      <c r="F237" s="67" t="s">
        <v>24</v>
      </c>
      <c r="G237" s="69">
        <f>SUMPRODUCT(('⚙️Pengaturan'!$C$3:$C$100=$F237)*('⚙️Pengaturan'!$D$3:$D$100))</f>
        <v>250000</v>
      </c>
      <c r="H237" s="70" t="s">
        <v>28</v>
      </c>
      <c r="I237" s="69"/>
      <c r="J237" s="69">
        <f t="shared" si="1"/>
        <v>250000</v>
      </c>
      <c r="K237" s="71"/>
    </row>
    <row r="238" ht="17.25" customHeight="1">
      <c r="A238" s="61"/>
      <c r="B238" s="63" t="b">
        <v>0</v>
      </c>
      <c r="C238" s="64">
        <v>231.0</v>
      </c>
      <c r="D238" s="65">
        <v>45437.0</v>
      </c>
      <c r="E238" s="67" t="s">
        <v>377</v>
      </c>
      <c r="F238" s="67" t="s">
        <v>24</v>
      </c>
      <c r="G238" s="69">
        <f>SUMPRODUCT(('⚙️Pengaturan'!$C$3:$C$100=$F238)*('⚙️Pengaturan'!$D$3:$D$100))</f>
        <v>250000</v>
      </c>
      <c r="H238" s="70" t="s">
        <v>28</v>
      </c>
      <c r="I238" s="69"/>
      <c r="J238" s="69">
        <f t="shared" si="1"/>
        <v>250000</v>
      </c>
      <c r="K238" s="71"/>
    </row>
    <row r="239" ht="17.25" customHeight="1">
      <c r="A239" s="61"/>
      <c r="B239" s="63" t="b">
        <v>0</v>
      </c>
      <c r="C239" s="64">
        <v>232.0</v>
      </c>
      <c r="D239" s="65">
        <v>45437.0</v>
      </c>
      <c r="E239" s="67" t="s">
        <v>378</v>
      </c>
      <c r="F239" s="67" t="s">
        <v>24</v>
      </c>
      <c r="G239" s="69">
        <f>SUMPRODUCT(('⚙️Pengaturan'!$C$3:$C$100=$F239)*('⚙️Pengaturan'!$D$3:$D$100))</f>
        <v>250000</v>
      </c>
      <c r="H239" s="70" t="s">
        <v>63</v>
      </c>
      <c r="I239" s="69"/>
      <c r="J239" s="69">
        <f t="shared" si="1"/>
        <v>250000</v>
      </c>
      <c r="K239" s="71"/>
    </row>
    <row r="240" ht="17.25" customHeight="1">
      <c r="A240" s="61"/>
      <c r="B240" s="63" t="b">
        <v>0</v>
      </c>
      <c r="C240" s="64">
        <v>233.0</v>
      </c>
      <c r="D240" s="65">
        <v>45437.0</v>
      </c>
      <c r="E240" s="67" t="s">
        <v>379</v>
      </c>
      <c r="F240" s="67" t="s">
        <v>44</v>
      </c>
      <c r="G240" s="69">
        <f>SUMPRODUCT(('⚙️Pengaturan'!$C$3:$C$100=$F240)*('⚙️Pengaturan'!$D$3:$D$100))</f>
        <v>150000</v>
      </c>
      <c r="H240" s="70" t="s">
        <v>63</v>
      </c>
      <c r="I240" s="69"/>
      <c r="J240" s="69">
        <f t="shared" si="1"/>
        <v>150000</v>
      </c>
      <c r="K240" s="71"/>
    </row>
    <row r="241" ht="17.25" customHeight="1">
      <c r="A241" s="61"/>
      <c r="B241" s="63" t="b">
        <v>0</v>
      </c>
      <c r="C241" s="64">
        <v>234.0</v>
      </c>
      <c r="D241" s="65">
        <v>45437.0</v>
      </c>
      <c r="E241" s="67" t="s">
        <v>266</v>
      </c>
      <c r="F241" s="67" t="s">
        <v>44</v>
      </c>
      <c r="G241" s="69">
        <f>SUMPRODUCT(('⚙️Pengaturan'!$C$3:$C$100=$F241)*('⚙️Pengaturan'!$D$3:$D$100))</f>
        <v>150000</v>
      </c>
      <c r="H241" s="70" t="s">
        <v>28</v>
      </c>
      <c r="I241" s="69"/>
      <c r="J241" s="69">
        <f t="shared" si="1"/>
        <v>150000</v>
      </c>
      <c r="K241" s="71"/>
    </row>
    <row r="242" ht="17.25" customHeight="1">
      <c r="A242" s="61"/>
      <c r="B242" s="63" t="b">
        <v>0</v>
      </c>
      <c r="C242" s="64">
        <v>235.0</v>
      </c>
      <c r="D242" s="65">
        <v>45439.0</v>
      </c>
      <c r="E242" s="67" t="s">
        <v>380</v>
      </c>
      <c r="F242" s="67" t="s">
        <v>116</v>
      </c>
      <c r="G242" s="69">
        <f>SUMPRODUCT(('⚙️Pengaturan'!$C$3:$C$100=$F242)*('⚙️Pengaturan'!$D$3:$D$100))</f>
        <v>300000</v>
      </c>
      <c r="H242" s="70" t="s">
        <v>28</v>
      </c>
      <c r="I242" s="69"/>
      <c r="J242" s="69">
        <f t="shared" si="1"/>
        <v>300000</v>
      </c>
      <c r="K242" s="71"/>
    </row>
    <row r="243" ht="17.25" customHeight="1">
      <c r="A243" s="61"/>
      <c r="B243" s="63" t="b">
        <v>0</v>
      </c>
      <c r="C243" s="64">
        <v>236.0</v>
      </c>
      <c r="D243" s="65">
        <v>45439.0</v>
      </c>
      <c r="E243" s="67" t="s">
        <v>269</v>
      </c>
      <c r="F243" s="67" t="s">
        <v>44</v>
      </c>
      <c r="G243" s="69">
        <f>SUMPRODUCT(('⚙️Pengaturan'!$C$3:$C$100=$F243)*('⚙️Pengaturan'!$D$3:$D$100))</f>
        <v>150000</v>
      </c>
      <c r="H243" s="70" t="s">
        <v>28</v>
      </c>
      <c r="I243" s="69"/>
      <c r="J243" s="69">
        <f t="shared" si="1"/>
        <v>150000</v>
      </c>
      <c r="K243" s="71"/>
    </row>
    <row r="244" ht="17.25" customHeight="1">
      <c r="A244" s="61"/>
      <c r="B244" s="63" t="b">
        <v>0</v>
      </c>
      <c r="C244" s="64">
        <v>237.0</v>
      </c>
      <c r="D244" s="65">
        <v>45439.0</v>
      </c>
      <c r="E244" s="67" t="s">
        <v>381</v>
      </c>
      <c r="F244" s="67" t="s">
        <v>24</v>
      </c>
      <c r="G244" s="69">
        <f>SUMPRODUCT(('⚙️Pengaturan'!$C$3:$C$100=$F244)*('⚙️Pengaturan'!$D$3:$D$100))</f>
        <v>250000</v>
      </c>
      <c r="H244" s="70" t="s">
        <v>63</v>
      </c>
      <c r="I244" s="69"/>
      <c r="J244" s="69">
        <f t="shared" si="1"/>
        <v>250000</v>
      </c>
      <c r="K244" s="71"/>
    </row>
    <row r="245" ht="17.25" customHeight="1">
      <c r="A245" s="61"/>
      <c r="B245" s="63" t="b">
        <v>0</v>
      </c>
      <c r="C245" s="64">
        <v>238.0</v>
      </c>
      <c r="D245" s="65">
        <v>45439.0</v>
      </c>
      <c r="E245" s="67" t="s">
        <v>382</v>
      </c>
      <c r="F245" s="67" t="s">
        <v>44</v>
      </c>
      <c r="G245" s="69">
        <f>SUMPRODUCT(('⚙️Pengaturan'!$C$3:$C$100=$F245)*('⚙️Pengaturan'!$D$3:$D$100))</f>
        <v>150000</v>
      </c>
      <c r="H245" s="70" t="s">
        <v>28</v>
      </c>
      <c r="I245" s="69"/>
      <c r="J245" s="69">
        <f t="shared" si="1"/>
        <v>150000</v>
      </c>
      <c r="K245" s="71"/>
    </row>
    <row r="246" ht="17.25" customHeight="1">
      <c r="A246" s="61"/>
      <c r="B246" s="63" t="b">
        <v>0</v>
      </c>
      <c r="C246" s="64">
        <v>239.0</v>
      </c>
      <c r="D246" s="65">
        <v>45440.0</v>
      </c>
      <c r="E246" s="67" t="s">
        <v>364</v>
      </c>
      <c r="F246" s="67" t="s">
        <v>53</v>
      </c>
      <c r="G246" s="69">
        <f>SUMPRODUCT(('⚙️Pengaturan'!$C$3:$C$100=$F246)*('⚙️Pengaturan'!$D$3:$D$100))</f>
        <v>650000</v>
      </c>
      <c r="H246" s="70" t="s">
        <v>63</v>
      </c>
      <c r="I246" s="69"/>
      <c r="J246" s="69">
        <f t="shared" si="1"/>
        <v>650000</v>
      </c>
      <c r="K246" s="71"/>
    </row>
    <row r="247" ht="17.25" customHeight="1">
      <c r="A247" s="61"/>
      <c r="B247" s="63" t="b">
        <v>0</v>
      </c>
      <c r="C247" s="64">
        <v>240.0</v>
      </c>
      <c r="D247" s="65">
        <v>45440.0</v>
      </c>
      <c r="E247" s="67" t="s">
        <v>189</v>
      </c>
      <c r="F247" s="67" t="s">
        <v>53</v>
      </c>
      <c r="G247" s="69">
        <f>SUMPRODUCT(('⚙️Pengaturan'!$C$3:$C$100=$F247)*('⚙️Pengaturan'!$D$3:$D$100))</f>
        <v>650000</v>
      </c>
      <c r="H247" s="70" t="s">
        <v>63</v>
      </c>
      <c r="I247" s="69"/>
      <c r="J247" s="69">
        <f t="shared" si="1"/>
        <v>650000</v>
      </c>
      <c r="K247" s="71"/>
    </row>
    <row r="248" ht="17.25" customHeight="1">
      <c r="A248" s="61"/>
      <c r="B248" s="63" t="b">
        <v>0</v>
      </c>
      <c r="C248" s="64">
        <v>241.0</v>
      </c>
      <c r="D248" s="65">
        <v>45441.0</v>
      </c>
      <c r="E248" s="67" t="s">
        <v>383</v>
      </c>
      <c r="F248" s="67" t="s">
        <v>24</v>
      </c>
      <c r="G248" s="69">
        <f>SUMPRODUCT(('⚙️Pengaturan'!$C$3:$C$100=$F248)*('⚙️Pengaturan'!$D$3:$D$100))</f>
        <v>250000</v>
      </c>
      <c r="H248" s="70" t="s">
        <v>28</v>
      </c>
      <c r="I248" s="69"/>
      <c r="J248" s="69">
        <f t="shared" si="1"/>
        <v>250000</v>
      </c>
      <c r="K248" s="71"/>
    </row>
    <row r="249" ht="17.25" customHeight="1">
      <c r="A249" s="61"/>
      <c r="B249" s="63" t="b">
        <v>0</v>
      </c>
      <c r="C249" s="64">
        <v>242.0</v>
      </c>
      <c r="D249" s="65">
        <v>45442.0</v>
      </c>
      <c r="E249" s="67" t="s">
        <v>381</v>
      </c>
      <c r="F249" s="67" t="s">
        <v>44</v>
      </c>
      <c r="G249" s="69">
        <f>SUMPRODUCT(('⚙️Pengaturan'!$C$3:$C$100=$F249)*('⚙️Pengaturan'!$D$3:$D$100))</f>
        <v>150000</v>
      </c>
      <c r="H249" s="70" t="s">
        <v>28</v>
      </c>
      <c r="I249" s="69"/>
      <c r="J249" s="69">
        <f t="shared" si="1"/>
        <v>150000</v>
      </c>
      <c r="K249" s="71"/>
    </row>
    <row r="250" ht="17.25" customHeight="1">
      <c r="A250" s="61"/>
      <c r="B250" s="63" t="b">
        <v>0</v>
      </c>
      <c r="C250" s="64">
        <v>243.0</v>
      </c>
      <c r="D250" s="65">
        <v>45442.0</v>
      </c>
      <c r="E250" s="67" t="s">
        <v>384</v>
      </c>
      <c r="F250" s="67" t="s">
        <v>44</v>
      </c>
      <c r="G250" s="69">
        <f>SUMPRODUCT(('⚙️Pengaturan'!$C$3:$C$100=$F250)*('⚙️Pengaturan'!$D$3:$D$100))</f>
        <v>150000</v>
      </c>
      <c r="H250" s="70" t="s">
        <v>63</v>
      </c>
      <c r="I250" s="69">
        <v>100000.0</v>
      </c>
      <c r="J250" s="69">
        <f t="shared" si="1"/>
        <v>50000</v>
      </c>
      <c r="K250" s="71"/>
    </row>
    <row r="251" ht="17.25" customHeight="1">
      <c r="A251" s="61"/>
      <c r="B251" s="63" t="b">
        <v>0</v>
      </c>
      <c r="C251" s="64">
        <v>244.0</v>
      </c>
      <c r="D251" s="65">
        <v>45442.0</v>
      </c>
      <c r="E251" s="67" t="s">
        <v>385</v>
      </c>
      <c r="F251" s="67" t="s">
        <v>24</v>
      </c>
      <c r="G251" s="69">
        <f>SUMPRODUCT(('⚙️Pengaturan'!$C$3:$C$100=$F251)*('⚙️Pengaturan'!$D$3:$D$100))</f>
        <v>250000</v>
      </c>
      <c r="H251" s="70" t="s">
        <v>28</v>
      </c>
      <c r="I251" s="69"/>
      <c r="J251" s="69">
        <f t="shared" si="1"/>
        <v>250000</v>
      </c>
      <c r="K251" s="71"/>
    </row>
    <row r="252" ht="17.25" customHeight="1">
      <c r="A252" s="61"/>
      <c r="B252" s="63" t="b">
        <v>0</v>
      </c>
      <c r="C252" s="64">
        <v>245.0</v>
      </c>
      <c r="D252" s="65">
        <v>45442.0</v>
      </c>
      <c r="E252" s="67" t="s">
        <v>383</v>
      </c>
      <c r="F252" s="67" t="s">
        <v>53</v>
      </c>
      <c r="G252" s="69">
        <f>SUMPRODUCT(('⚙️Pengaturan'!$C$3:$C$100=$F252)*('⚙️Pengaturan'!$D$3:$D$100))</f>
        <v>650000</v>
      </c>
      <c r="H252" s="70" t="s">
        <v>28</v>
      </c>
      <c r="I252" s="69"/>
      <c r="J252" s="69">
        <f t="shared" si="1"/>
        <v>650000</v>
      </c>
      <c r="K252" s="71"/>
    </row>
    <row r="253" ht="17.25" customHeight="1">
      <c r="A253" s="61"/>
      <c r="B253" s="63" t="b">
        <v>0</v>
      </c>
      <c r="C253" s="64">
        <v>246.0</v>
      </c>
      <c r="D253" s="65">
        <v>45445.0</v>
      </c>
      <c r="E253" s="67" t="s">
        <v>386</v>
      </c>
      <c r="F253" s="67" t="s">
        <v>116</v>
      </c>
      <c r="G253" s="69">
        <f>SUMPRODUCT(('⚙️Pengaturan'!$C$3:$C$100=$F253)*('⚙️Pengaturan'!$D$3:$D$100))</f>
        <v>300000</v>
      </c>
      <c r="H253" s="70" t="s">
        <v>28</v>
      </c>
      <c r="I253" s="69"/>
      <c r="J253" s="69">
        <f t="shared" si="1"/>
        <v>300000</v>
      </c>
      <c r="K253" s="71"/>
    </row>
    <row r="254" ht="17.25" customHeight="1">
      <c r="A254" s="61"/>
      <c r="B254" s="63" t="b">
        <v>0</v>
      </c>
      <c r="C254" s="64">
        <v>247.0</v>
      </c>
      <c r="D254" s="65">
        <v>45445.0</v>
      </c>
      <c r="E254" s="67" t="s">
        <v>387</v>
      </c>
      <c r="F254" s="67" t="s">
        <v>24</v>
      </c>
      <c r="G254" s="69">
        <f>SUMPRODUCT(('⚙️Pengaturan'!$C$3:$C$100=$F254)*('⚙️Pengaturan'!$D$3:$D$100))</f>
        <v>250000</v>
      </c>
      <c r="H254" s="70" t="s">
        <v>28</v>
      </c>
      <c r="I254" s="69"/>
      <c r="J254" s="69">
        <f t="shared" si="1"/>
        <v>250000</v>
      </c>
      <c r="K254" s="71"/>
    </row>
    <row r="255" ht="17.25" customHeight="1">
      <c r="A255" s="61"/>
      <c r="B255" s="63" t="b">
        <v>0</v>
      </c>
      <c r="C255" s="64">
        <v>248.0</v>
      </c>
      <c r="D255" s="65">
        <v>45445.0</v>
      </c>
      <c r="E255" s="67" t="s">
        <v>266</v>
      </c>
      <c r="F255" s="67" t="s">
        <v>44</v>
      </c>
      <c r="G255" s="69">
        <f>SUMPRODUCT(('⚙️Pengaturan'!$C$3:$C$100=$F255)*('⚙️Pengaturan'!$D$3:$D$100))</f>
        <v>150000</v>
      </c>
      <c r="H255" s="70" t="s">
        <v>28</v>
      </c>
      <c r="I255" s="69"/>
      <c r="J255" s="69">
        <f t="shared" si="1"/>
        <v>150000</v>
      </c>
      <c r="K255" s="71"/>
    </row>
    <row r="256" ht="17.25" customHeight="1">
      <c r="A256" s="61"/>
      <c r="B256" s="63" t="b">
        <v>0</v>
      </c>
      <c r="C256" s="64">
        <v>249.0</v>
      </c>
      <c r="D256" s="65">
        <v>45446.0</v>
      </c>
      <c r="E256" s="67" t="s">
        <v>388</v>
      </c>
      <c r="F256" s="67" t="s">
        <v>24</v>
      </c>
      <c r="G256" s="69">
        <f>SUMPRODUCT(('⚙️Pengaturan'!$C$3:$C$100=$F256)*('⚙️Pengaturan'!$D$3:$D$100))</f>
        <v>250000</v>
      </c>
      <c r="H256" s="70" t="s">
        <v>63</v>
      </c>
      <c r="I256" s="69"/>
      <c r="J256" s="69">
        <f t="shared" si="1"/>
        <v>250000</v>
      </c>
      <c r="K256" s="71"/>
    </row>
    <row r="257" ht="17.25" customHeight="1">
      <c r="A257" s="61"/>
      <c r="B257" s="63" t="b">
        <v>0</v>
      </c>
      <c r="C257" s="64">
        <v>250.0</v>
      </c>
      <c r="D257" s="65">
        <v>45446.0</v>
      </c>
      <c r="E257" s="67" t="s">
        <v>385</v>
      </c>
      <c r="F257" s="67" t="s">
        <v>44</v>
      </c>
      <c r="G257" s="69">
        <f>SUMPRODUCT(('⚙️Pengaturan'!$C$3:$C$100=$F257)*('⚙️Pengaturan'!$D$3:$D$100))</f>
        <v>150000</v>
      </c>
      <c r="H257" s="70" t="s">
        <v>28</v>
      </c>
      <c r="I257" s="69"/>
      <c r="J257" s="69">
        <f t="shared" si="1"/>
        <v>150000</v>
      </c>
      <c r="K257" s="71"/>
    </row>
    <row r="258" ht="17.25" customHeight="1">
      <c r="A258" s="61"/>
      <c r="B258" s="63" t="b">
        <v>0</v>
      </c>
      <c r="C258" s="64">
        <v>251.0</v>
      </c>
      <c r="D258" s="65">
        <v>45447.0</v>
      </c>
      <c r="E258" s="67" t="s">
        <v>324</v>
      </c>
      <c r="F258" s="67" t="s">
        <v>53</v>
      </c>
      <c r="G258" s="69">
        <f>SUMPRODUCT(('⚙️Pengaturan'!$C$3:$C$100=$F258)*('⚙️Pengaturan'!$D$3:$D$100))</f>
        <v>650000</v>
      </c>
      <c r="H258" s="70" t="s">
        <v>63</v>
      </c>
      <c r="I258" s="69">
        <v>500000.0</v>
      </c>
      <c r="J258" s="69">
        <f t="shared" si="1"/>
        <v>150000</v>
      </c>
      <c r="K258" s="71"/>
    </row>
    <row r="259" ht="17.25" customHeight="1">
      <c r="A259" s="61"/>
      <c r="B259" s="63" t="b">
        <v>0</v>
      </c>
      <c r="C259" s="64">
        <v>252.0</v>
      </c>
      <c r="D259" s="65">
        <v>45447.0</v>
      </c>
      <c r="E259" s="67" t="s">
        <v>324</v>
      </c>
      <c r="F259" s="67" t="s">
        <v>53</v>
      </c>
      <c r="G259" s="69">
        <f>SUMPRODUCT(('⚙️Pengaturan'!$C$3:$C$100=$F259)*('⚙️Pengaturan'!$D$3:$D$100))</f>
        <v>650000</v>
      </c>
      <c r="H259" s="70" t="s">
        <v>28</v>
      </c>
      <c r="I259" s="69">
        <v>600000.0</v>
      </c>
      <c r="J259" s="69">
        <f t="shared" si="1"/>
        <v>50000</v>
      </c>
      <c r="K259" s="71"/>
    </row>
    <row r="260" ht="17.25" customHeight="1">
      <c r="A260" s="61"/>
      <c r="B260" s="63" t="b">
        <v>0</v>
      </c>
      <c r="C260" s="64">
        <v>253.0</v>
      </c>
      <c r="D260" s="65">
        <v>45447.0</v>
      </c>
      <c r="E260" s="67" t="s">
        <v>381</v>
      </c>
      <c r="F260" s="67" t="s">
        <v>44</v>
      </c>
      <c r="G260" s="69">
        <f>SUMPRODUCT(('⚙️Pengaturan'!$C$3:$C$100=$F260)*('⚙️Pengaturan'!$D$3:$D$100))</f>
        <v>150000</v>
      </c>
      <c r="H260" s="70" t="s">
        <v>28</v>
      </c>
      <c r="I260" s="69"/>
      <c r="J260" s="69">
        <f t="shared" si="1"/>
        <v>150000</v>
      </c>
      <c r="K260" s="71"/>
    </row>
    <row r="261" ht="17.25" customHeight="1">
      <c r="A261" s="61"/>
      <c r="B261" s="63" t="b">
        <v>0</v>
      </c>
      <c r="C261" s="64">
        <v>254.0</v>
      </c>
      <c r="D261" s="65">
        <v>45447.0</v>
      </c>
      <c r="E261" s="67" t="s">
        <v>199</v>
      </c>
      <c r="F261" s="67" t="s">
        <v>67</v>
      </c>
      <c r="G261" s="69">
        <f>SUMPRODUCT(('⚙️Pengaturan'!$C$3:$C$100=$F261)*('⚙️Pengaturan'!$D$3:$D$100))</f>
        <v>1200000</v>
      </c>
      <c r="H261" s="70" t="s">
        <v>63</v>
      </c>
      <c r="I261" s="69">
        <v>250000.0</v>
      </c>
      <c r="J261" s="69">
        <f t="shared" si="1"/>
        <v>950000</v>
      </c>
      <c r="K261" s="71"/>
    </row>
    <row r="262" ht="17.25" customHeight="1">
      <c r="A262" s="61"/>
      <c r="B262" s="63" t="b">
        <v>0</v>
      </c>
      <c r="C262" s="64">
        <v>255.0</v>
      </c>
      <c r="D262" s="65">
        <v>45449.0</v>
      </c>
      <c r="E262" s="67" t="s">
        <v>374</v>
      </c>
      <c r="F262" s="67" t="s">
        <v>345</v>
      </c>
      <c r="G262" s="69">
        <f>SUMPRODUCT(('⚙️Pengaturan'!$C$3:$C$100=$F262)*('⚙️Pengaturan'!$D$3:$D$100))</f>
        <v>250000</v>
      </c>
      <c r="H262" s="70" t="s">
        <v>28</v>
      </c>
      <c r="I262" s="69"/>
      <c r="J262" s="69">
        <f t="shared" si="1"/>
        <v>250000</v>
      </c>
      <c r="K262" s="71"/>
    </row>
    <row r="263" ht="17.25" customHeight="1">
      <c r="A263" s="61"/>
      <c r="B263" s="63" t="b">
        <v>0</v>
      </c>
      <c r="C263" s="64">
        <v>256.0</v>
      </c>
      <c r="D263" s="65">
        <v>45449.0</v>
      </c>
      <c r="E263" s="67" t="s">
        <v>388</v>
      </c>
      <c r="F263" s="67" t="s">
        <v>44</v>
      </c>
      <c r="G263" s="69">
        <f>SUMPRODUCT(('⚙️Pengaturan'!$C$3:$C$100=$F263)*('⚙️Pengaturan'!$D$3:$D$100))</f>
        <v>150000</v>
      </c>
      <c r="H263" s="70" t="s">
        <v>63</v>
      </c>
      <c r="I263" s="69"/>
      <c r="J263" s="69">
        <f t="shared" si="1"/>
        <v>150000</v>
      </c>
      <c r="K263" s="71"/>
    </row>
    <row r="264" ht="17.25" customHeight="1">
      <c r="A264" s="61"/>
      <c r="B264" s="63" t="b">
        <v>0</v>
      </c>
      <c r="C264" s="64">
        <v>257.0</v>
      </c>
      <c r="D264" s="65">
        <v>45452.0</v>
      </c>
      <c r="E264" s="67" t="s">
        <v>269</v>
      </c>
      <c r="F264" s="67" t="s">
        <v>44</v>
      </c>
      <c r="G264" s="69">
        <f>SUMPRODUCT(('⚙️Pengaturan'!$C$3:$C$100=$F264)*('⚙️Pengaturan'!$D$3:$D$100))</f>
        <v>150000</v>
      </c>
      <c r="H264" s="70" t="s">
        <v>28</v>
      </c>
      <c r="I264" s="69"/>
      <c r="J264" s="69">
        <f t="shared" si="1"/>
        <v>150000</v>
      </c>
      <c r="K264" s="71"/>
    </row>
    <row r="265" ht="17.25" customHeight="1">
      <c r="A265" s="61"/>
      <c r="B265" s="63" t="b">
        <v>0</v>
      </c>
      <c r="C265" s="64">
        <v>258.0</v>
      </c>
      <c r="D265" s="65">
        <v>45453.0</v>
      </c>
      <c r="E265" s="67" t="s">
        <v>381</v>
      </c>
      <c r="F265" s="67" t="s">
        <v>44</v>
      </c>
      <c r="G265" s="69">
        <f>SUMPRODUCT(('⚙️Pengaturan'!$C$3:$C$100=$F265)*('⚙️Pengaturan'!$D$3:$D$100))</f>
        <v>150000</v>
      </c>
      <c r="H265" s="70" t="s">
        <v>28</v>
      </c>
      <c r="I265" s="69"/>
      <c r="J265" s="69">
        <f t="shared" si="1"/>
        <v>150000</v>
      </c>
      <c r="K265" s="71"/>
    </row>
    <row r="266" ht="17.25" customHeight="1">
      <c r="A266" s="61"/>
      <c r="B266" s="63" t="b">
        <v>0</v>
      </c>
      <c r="C266" s="64">
        <v>259.0</v>
      </c>
      <c r="D266" s="65">
        <v>45454.0</v>
      </c>
      <c r="E266" s="67" t="s">
        <v>389</v>
      </c>
      <c r="F266" s="67" t="s">
        <v>24</v>
      </c>
      <c r="G266" s="69">
        <f>SUMPRODUCT(('⚙️Pengaturan'!$C$3:$C$100=$F266)*('⚙️Pengaturan'!$D$3:$D$100))</f>
        <v>250000</v>
      </c>
      <c r="H266" s="70" t="s">
        <v>63</v>
      </c>
      <c r="I266" s="69"/>
      <c r="J266" s="69">
        <f t="shared" si="1"/>
        <v>250000</v>
      </c>
      <c r="K266" s="71"/>
    </row>
    <row r="267" ht="17.25" customHeight="1">
      <c r="A267" s="61"/>
      <c r="B267" s="63" t="b">
        <v>0</v>
      </c>
      <c r="C267" s="64">
        <v>260.0</v>
      </c>
      <c r="D267" s="65">
        <v>45456.0</v>
      </c>
      <c r="E267" s="67" t="s">
        <v>381</v>
      </c>
      <c r="F267" s="67" t="s">
        <v>67</v>
      </c>
      <c r="G267" s="69">
        <f>SUMPRODUCT(('⚙️Pengaturan'!$C$3:$C$100=$F267)*('⚙️Pengaturan'!$D$3:$D$100))</f>
        <v>1200000</v>
      </c>
      <c r="H267" s="70" t="s">
        <v>63</v>
      </c>
      <c r="I267" s="69">
        <v>600000.0</v>
      </c>
      <c r="J267" s="69">
        <f t="shared" si="1"/>
        <v>600000</v>
      </c>
      <c r="K267" s="71"/>
    </row>
    <row r="268" ht="17.25" customHeight="1">
      <c r="A268" s="61"/>
      <c r="B268" s="63" t="b">
        <v>0</v>
      </c>
      <c r="C268" s="64">
        <v>261.0</v>
      </c>
      <c r="D268" s="65">
        <v>45458.0</v>
      </c>
      <c r="E268" s="67" t="s">
        <v>389</v>
      </c>
      <c r="F268" s="67" t="s">
        <v>44</v>
      </c>
      <c r="G268" s="69">
        <f>SUMPRODUCT(('⚙️Pengaturan'!$C$3:$C$100=$F268)*('⚙️Pengaturan'!$D$3:$D$100))</f>
        <v>150000</v>
      </c>
      <c r="H268" s="70" t="s">
        <v>28</v>
      </c>
      <c r="I268" s="69"/>
      <c r="J268" s="69">
        <f t="shared" si="1"/>
        <v>150000</v>
      </c>
      <c r="K268" s="71"/>
    </row>
    <row r="269" ht="17.25" customHeight="1">
      <c r="A269" s="61"/>
      <c r="B269" s="63" t="b">
        <v>0</v>
      </c>
      <c r="C269" s="64">
        <v>262.0</v>
      </c>
      <c r="D269" s="65">
        <v>45459.0</v>
      </c>
      <c r="E269" s="67" t="s">
        <v>381</v>
      </c>
      <c r="F269" s="67" t="s">
        <v>67</v>
      </c>
      <c r="G269" s="69">
        <f>SUMPRODUCT(('⚙️Pengaturan'!$C$3:$C$100=$F269)*('⚙️Pengaturan'!$D$3:$D$100))</f>
        <v>1200000</v>
      </c>
      <c r="H269" s="70" t="s">
        <v>63</v>
      </c>
      <c r="I269" s="69">
        <v>600000.0</v>
      </c>
      <c r="J269" s="69">
        <f t="shared" si="1"/>
        <v>600000</v>
      </c>
      <c r="K269" s="71"/>
    </row>
    <row r="270" ht="17.25" customHeight="1">
      <c r="A270" s="61"/>
      <c r="B270" s="63" t="b">
        <v>0</v>
      </c>
      <c r="C270" s="64">
        <v>263.0</v>
      </c>
      <c r="D270" s="65">
        <v>45459.0</v>
      </c>
      <c r="E270" s="67" t="s">
        <v>367</v>
      </c>
      <c r="F270" s="67" t="s">
        <v>53</v>
      </c>
      <c r="G270" s="69">
        <f>SUMPRODUCT(('⚙️Pengaturan'!$C$3:$C$100=$F270)*('⚙️Pengaturan'!$D$3:$D$100))</f>
        <v>650000</v>
      </c>
      <c r="H270" s="70" t="s">
        <v>28</v>
      </c>
      <c r="I270" s="69"/>
      <c r="J270" s="69">
        <f t="shared" si="1"/>
        <v>650000</v>
      </c>
      <c r="K270" s="71"/>
    </row>
    <row r="271" ht="17.25" customHeight="1">
      <c r="A271" s="61"/>
      <c r="B271" s="63" t="b">
        <v>0</v>
      </c>
      <c r="C271" s="64">
        <v>264.0</v>
      </c>
      <c r="D271" s="65">
        <v>45461.0</v>
      </c>
      <c r="E271" s="67" t="s">
        <v>379</v>
      </c>
      <c r="F271" s="67" t="s">
        <v>44</v>
      </c>
      <c r="G271" s="69">
        <f>SUMPRODUCT(('⚙️Pengaturan'!$C$3:$C$100=$F271)*('⚙️Pengaturan'!$D$3:$D$100))</f>
        <v>150000</v>
      </c>
      <c r="H271" s="70" t="s">
        <v>28</v>
      </c>
      <c r="I271" s="69"/>
      <c r="J271" s="69">
        <f t="shared" si="1"/>
        <v>150000</v>
      </c>
      <c r="K271" s="71"/>
    </row>
    <row r="272" ht="17.25" customHeight="1">
      <c r="A272" s="61"/>
      <c r="B272" s="63" t="b">
        <v>0</v>
      </c>
      <c r="C272" s="64">
        <v>265.0</v>
      </c>
      <c r="D272" s="65">
        <v>45461.0</v>
      </c>
      <c r="E272" s="67" t="s">
        <v>378</v>
      </c>
      <c r="F272" s="67" t="s">
        <v>44</v>
      </c>
      <c r="G272" s="69">
        <f>SUMPRODUCT(('⚙️Pengaturan'!$C$3:$C$100=$F272)*('⚙️Pengaturan'!$D$3:$D$100))</f>
        <v>150000</v>
      </c>
      <c r="H272" s="70" t="s">
        <v>28</v>
      </c>
      <c r="I272" s="69"/>
      <c r="J272" s="69">
        <f t="shared" si="1"/>
        <v>150000</v>
      </c>
      <c r="K272" s="71"/>
    </row>
    <row r="273" ht="17.25" customHeight="1">
      <c r="A273" s="61"/>
      <c r="B273" s="63" t="b">
        <v>0</v>
      </c>
      <c r="C273" s="64">
        <v>266.0</v>
      </c>
      <c r="D273" s="65">
        <v>45462.0</v>
      </c>
      <c r="E273" s="67" t="s">
        <v>390</v>
      </c>
      <c r="F273" s="67" t="s">
        <v>24</v>
      </c>
      <c r="G273" s="69">
        <f>SUMPRODUCT(('⚙️Pengaturan'!$C$3:$C$100=$F273)*('⚙️Pengaturan'!$D$3:$D$100))</f>
        <v>250000</v>
      </c>
      <c r="H273" s="70" t="s">
        <v>28</v>
      </c>
      <c r="I273" s="69"/>
      <c r="J273" s="69">
        <f t="shared" si="1"/>
        <v>250000</v>
      </c>
      <c r="K273" s="71"/>
    </row>
    <row r="274" ht="17.25" customHeight="1">
      <c r="A274" s="61"/>
      <c r="B274" s="63" t="b">
        <v>0</v>
      </c>
      <c r="C274" s="64">
        <v>267.0</v>
      </c>
      <c r="D274" s="65">
        <v>45463.0</v>
      </c>
      <c r="E274" s="67" t="s">
        <v>376</v>
      </c>
      <c r="F274" s="67" t="s">
        <v>67</v>
      </c>
      <c r="G274" s="69">
        <f>SUMPRODUCT(('⚙️Pengaturan'!$C$3:$C$100=$F274)*('⚙️Pengaturan'!$D$3:$D$100))</f>
        <v>1200000</v>
      </c>
      <c r="H274" s="70" t="s">
        <v>28</v>
      </c>
      <c r="I274" s="69">
        <v>600000.0</v>
      </c>
      <c r="J274" s="69">
        <f t="shared" si="1"/>
        <v>600000</v>
      </c>
      <c r="K274" s="71"/>
    </row>
    <row r="275" ht="17.25" customHeight="1">
      <c r="A275" s="61"/>
      <c r="B275" s="63" t="b">
        <v>0</v>
      </c>
      <c r="C275" s="64">
        <v>268.0</v>
      </c>
      <c r="D275" s="65">
        <v>45463.0</v>
      </c>
      <c r="E275" s="67" t="s">
        <v>391</v>
      </c>
      <c r="F275" s="67" t="s">
        <v>24</v>
      </c>
      <c r="G275" s="69">
        <f>SUMPRODUCT(('⚙️Pengaturan'!$C$3:$C$100=$F275)*('⚙️Pengaturan'!$D$3:$D$100))</f>
        <v>250000</v>
      </c>
      <c r="H275" s="70" t="s">
        <v>28</v>
      </c>
      <c r="I275" s="69"/>
      <c r="J275" s="69">
        <f t="shared" si="1"/>
        <v>250000</v>
      </c>
      <c r="K275" s="71"/>
    </row>
    <row r="276" ht="17.25" customHeight="1">
      <c r="A276" s="61"/>
      <c r="B276" s="63" t="b">
        <v>0</v>
      </c>
      <c r="C276" s="64">
        <v>269.0</v>
      </c>
      <c r="D276" s="65">
        <v>45465.0</v>
      </c>
      <c r="E276" s="67" t="s">
        <v>376</v>
      </c>
      <c r="F276" s="67" t="s">
        <v>67</v>
      </c>
      <c r="G276" s="69">
        <f>SUMPRODUCT(('⚙️Pengaturan'!$C$3:$C$100=$F276)*('⚙️Pengaturan'!$D$3:$D$100))</f>
        <v>1200000</v>
      </c>
      <c r="H276" s="70" t="s">
        <v>28</v>
      </c>
      <c r="I276" s="69">
        <v>600000.0</v>
      </c>
      <c r="J276" s="69">
        <f t="shared" si="1"/>
        <v>600000</v>
      </c>
      <c r="K276" s="71"/>
    </row>
    <row r="277" ht="17.25" customHeight="1">
      <c r="A277" s="61"/>
      <c r="B277" s="63" t="b">
        <v>0</v>
      </c>
      <c r="C277" s="64">
        <v>270.0</v>
      </c>
      <c r="D277" s="65">
        <v>45465.0</v>
      </c>
      <c r="E277" s="67" t="s">
        <v>392</v>
      </c>
      <c r="F277" s="67" t="s">
        <v>24</v>
      </c>
      <c r="G277" s="69">
        <f>SUMPRODUCT(('⚙️Pengaturan'!$C$3:$C$100=$F277)*('⚙️Pengaturan'!$D$3:$D$100))</f>
        <v>250000</v>
      </c>
      <c r="H277" s="70" t="s">
        <v>28</v>
      </c>
      <c r="I277" s="69"/>
      <c r="J277" s="69">
        <f t="shared" si="1"/>
        <v>250000</v>
      </c>
      <c r="K277" s="71"/>
    </row>
    <row r="278" ht="17.25" customHeight="1">
      <c r="A278" s="61"/>
      <c r="B278" s="63" t="b">
        <v>0</v>
      </c>
      <c r="C278" s="64">
        <v>271.0</v>
      </c>
      <c r="D278" s="65">
        <v>45466.0</v>
      </c>
      <c r="E278" s="67" t="s">
        <v>391</v>
      </c>
      <c r="F278" s="67" t="s">
        <v>44</v>
      </c>
      <c r="G278" s="69">
        <f>SUMPRODUCT(('⚙️Pengaturan'!$C$3:$C$100=$F278)*('⚙️Pengaturan'!$D$3:$D$100))</f>
        <v>150000</v>
      </c>
      <c r="H278" s="70" t="s">
        <v>28</v>
      </c>
      <c r="I278" s="69"/>
      <c r="J278" s="69">
        <f t="shared" si="1"/>
        <v>150000</v>
      </c>
      <c r="K278" s="71"/>
    </row>
    <row r="279" ht="17.25" customHeight="1">
      <c r="A279" s="61"/>
      <c r="B279" s="63" t="b">
        <v>0</v>
      </c>
      <c r="C279" s="64">
        <v>272.0</v>
      </c>
      <c r="D279" s="65">
        <v>45467.0</v>
      </c>
      <c r="E279" s="67" t="s">
        <v>390</v>
      </c>
      <c r="F279" s="67" t="s">
        <v>44</v>
      </c>
      <c r="G279" s="69">
        <f>SUMPRODUCT(('⚙️Pengaturan'!$C$3:$C$100=$F279)*('⚙️Pengaturan'!$D$3:$D$100))</f>
        <v>150000</v>
      </c>
      <c r="H279" s="70" t="s">
        <v>28</v>
      </c>
      <c r="I279" s="69"/>
      <c r="J279" s="69">
        <f t="shared" si="1"/>
        <v>150000</v>
      </c>
      <c r="K279" s="71"/>
    </row>
    <row r="280" ht="17.25" customHeight="1">
      <c r="A280" s="61"/>
      <c r="B280" s="63" t="b">
        <v>0</v>
      </c>
      <c r="C280" s="64">
        <v>273.0</v>
      </c>
      <c r="D280" s="65">
        <v>45467.0</v>
      </c>
      <c r="E280" s="67" t="s">
        <v>393</v>
      </c>
      <c r="F280" s="67" t="s">
        <v>24</v>
      </c>
      <c r="G280" s="69">
        <f>SUMPRODUCT(('⚙️Pengaturan'!$C$3:$C$100=$F280)*('⚙️Pengaturan'!$D$3:$D$100))</f>
        <v>250000</v>
      </c>
      <c r="H280" s="70" t="s">
        <v>28</v>
      </c>
      <c r="I280" s="69"/>
      <c r="J280" s="69">
        <f t="shared" si="1"/>
        <v>250000</v>
      </c>
      <c r="K280" s="71"/>
    </row>
    <row r="281" ht="17.25" customHeight="1">
      <c r="A281" s="61"/>
      <c r="B281" s="63" t="b">
        <v>0</v>
      </c>
      <c r="C281" s="64">
        <v>274.0</v>
      </c>
      <c r="D281" s="65">
        <v>45468.0</v>
      </c>
      <c r="E281" s="67" t="s">
        <v>392</v>
      </c>
      <c r="F281" s="67" t="s">
        <v>53</v>
      </c>
      <c r="G281" s="69">
        <f>SUMPRODUCT(('⚙️Pengaturan'!$C$3:$C$100=$F281)*('⚙️Pengaturan'!$D$3:$D$100))</f>
        <v>650000</v>
      </c>
      <c r="H281" s="70" t="s">
        <v>28</v>
      </c>
      <c r="I281" s="69"/>
      <c r="J281" s="69">
        <f t="shared" si="1"/>
        <v>650000</v>
      </c>
      <c r="K281" s="71"/>
    </row>
    <row r="282" ht="17.25" customHeight="1">
      <c r="A282" s="61"/>
      <c r="B282" s="63" t="b">
        <v>0</v>
      </c>
      <c r="C282" s="64">
        <v>275.0</v>
      </c>
      <c r="D282" s="65">
        <v>45468.0</v>
      </c>
      <c r="E282" s="67" t="s">
        <v>394</v>
      </c>
      <c r="F282" s="67" t="s">
        <v>24</v>
      </c>
      <c r="G282" s="69">
        <f>SUMPRODUCT(('⚙️Pengaturan'!$C$3:$C$100=$F282)*('⚙️Pengaturan'!$D$3:$D$100))</f>
        <v>250000</v>
      </c>
      <c r="H282" s="70" t="s">
        <v>28</v>
      </c>
      <c r="I282" s="69"/>
      <c r="J282" s="69">
        <f t="shared" si="1"/>
        <v>250000</v>
      </c>
      <c r="K282" s="71"/>
    </row>
    <row r="283" ht="17.25" customHeight="1">
      <c r="A283" s="61"/>
      <c r="B283" s="63" t="b">
        <v>0</v>
      </c>
      <c r="C283" s="64">
        <v>276.0</v>
      </c>
      <c r="D283" s="65">
        <v>45468.0</v>
      </c>
      <c r="E283" s="67" t="s">
        <v>395</v>
      </c>
      <c r="F283" s="67" t="s">
        <v>24</v>
      </c>
      <c r="G283" s="69">
        <f>SUMPRODUCT(('⚙️Pengaturan'!$C$3:$C$100=$F283)*('⚙️Pengaturan'!$D$3:$D$100))</f>
        <v>250000</v>
      </c>
      <c r="H283" s="70" t="s">
        <v>28</v>
      </c>
      <c r="I283" s="69"/>
      <c r="J283" s="69">
        <f t="shared" si="1"/>
        <v>250000</v>
      </c>
      <c r="K283" s="71"/>
    </row>
    <row r="284" ht="17.25" customHeight="1">
      <c r="A284" s="61"/>
      <c r="B284" s="63" t="b">
        <v>0</v>
      </c>
      <c r="C284" s="64">
        <v>277.0</v>
      </c>
      <c r="D284" s="65">
        <v>45470.0</v>
      </c>
      <c r="E284" s="67" t="s">
        <v>391</v>
      </c>
      <c r="F284" s="67" t="s">
        <v>44</v>
      </c>
      <c r="G284" s="69">
        <f>SUMPRODUCT(('⚙️Pengaturan'!$C$3:$C$100=$F284)*('⚙️Pengaturan'!$D$3:$D$100))</f>
        <v>150000</v>
      </c>
      <c r="H284" s="70" t="s">
        <v>28</v>
      </c>
      <c r="I284" s="69"/>
      <c r="J284" s="69">
        <f t="shared" si="1"/>
        <v>150000</v>
      </c>
      <c r="K284" s="71"/>
    </row>
    <row r="285" ht="17.25" customHeight="1">
      <c r="A285" s="61"/>
      <c r="B285" s="63" t="b">
        <v>0</v>
      </c>
      <c r="C285" s="64">
        <v>278.0</v>
      </c>
      <c r="D285" s="65">
        <v>45470.0</v>
      </c>
      <c r="E285" s="67" t="s">
        <v>390</v>
      </c>
      <c r="F285" s="67" t="s">
        <v>44</v>
      </c>
      <c r="G285" s="69">
        <f>SUMPRODUCT(('⚙️Pengaturan'!$C$3:$C$100=$F285)*('⚙️Pengaturan'!$D$3:$D$100))</f>
        <v>150000</v>
      </c>
      <c r="H285" s="70" t="s">
        <v>28</v>
      </c>
      <c r="I285" s="69"/>
      <c r="J285" s="69">
        <f t="shared" si="1"/>
        <v>150000</v>
      </c>
      <c r="K285" s="71"/>
    </row>
    <row r="286" ht="17.25" customHeight="1">
      <c r="A286" s="61"/>
      <c r="B286" s="63" t="b">
        <v>0</v>
      </c>
      <c r="C286" s="64">
        <v>279.0</v>
      </c>
      <c r="D286" s="65">
        <v>45472.0</v>
      </c>
      <c r="E286" s="67" t="s">
        <v>395</v>
      </c>
      <c r="F286" s="67" t="s">
        <v>44</v>
      </c>
      <c r="G286" s="69">
        <f>SUMPRODUCT(('⚙️Pengaturan'!$C$3:$C$100=$F286)*('⚙️Pengaturan'!$D$3:$D$100))</f>
        <v>150000</v>
      </c>
      <c r="H286" s="70" t="s">
        <v>28</v>
      </c>
      <c r="I286" s="69"/>
      <c r="J286" s="69">
        <f t="shared" si="1"/>
        <v>150000</v>
      </c>
      <c r="K286" s="71"/>
    </row>
    <row r="287" ht="17.25" customHeight="1">
      <c r="A287" s="61"/>
      <c r="B287" s="63" t="b">
        <v>0</v>
      </c>
      <c r="C287" s="64">
        <v>280.0</v>
      </c>
      <c r="D287" s="65">
        <v>45473.0</v>
      </c>
      <c r="E287" s="67" t="s">
        <v>396</v>
      </c>
      <c r="F287" s="67" t="s">
        <v>24</v>
      </c>
      <c r="G287" s="69">
        <f>SUMPRODUCT(('⚙️Pengaturan'!$C$3:$C$100=$F287)*('⚙️Pengaturan'!$D$3:$D$100))</f>
        <v>250000</v>
      </c>
      <c r="H287" s="70" t="s">
        <v>28</v>
      </c>
      <c r="I287" s="69"/>
      <c r="J287" s="69">
        <f t="shared" si="1"/>
        <v>250000</v>
      </c>
      <c r="K287" s="71"/>
    </row>
    <row r="288" ht="17.25" customHeight="1">
      <c r="A288" s="61"/>
      <c r="B288" s="63" t="b">
        <v>0</v>
      </c>
      <c r="C288" s="64">
        <v>281.0</v>
      </c>
      <c r="D288" s="65">
        <v>45474.0</v>
      </c>
      <c r="E288" s="67" t="s">
        <v>397</v>
      </c>
      <c r="F288" s="67" t="s">
        <v>24</v>
      </c>
      <c r="G288" s="69">
        <f>SUMPRODUCT(('⚙️Pengaturan'!$C$3:$C$100=$F288)*('⚙️Pengaturan'!$D$3:$D$100))</f>
        <v>250000</v>
      </c>
      <c r="H288" s="70" t="s">
        <v>28</v>
      </c>
      <c r="I288" s="69"/>
      <c r="J288" s="69">
        <f t="shared" si="1"/>
        <v>250000</v>
      </c>
      <c r="K288" s="71"/>
    </row>
    <row r="289" ht="17.25" customHeight="1">
      <c r="A289" s="61"/>
      <c r="B289" s="63" t="b">
        <v>0</v>
      </c>
      <c r="C289" s="64">
        <v>282.0</v>
      </c>
      <c r="D289" s="65">
        <v>45477.0</v>
      </c>
      <c r="E289" s="67" t="s">
        <v>398</v>
      </c>
      <c r="F289" s="67" t="s">
        <v>24</v>
      </c>
      <c r="G289" s="69">
        <f>SUMPRODUCT(('⚙️Pengaturan'!$C$3:$C$100=$F289)*('⚙️Pengaturan'!$D$3:$D$100))</f>
        <v>250000</v>
      </c>
      <c r="H289" s="70" t="s">
        <v>63</v>
      </c>
      <c r="I289" s="69"/>
      <c r="J289" s="69">
        <f t="shared" si="1"/>
        <v>250000</v>
      </c>
      <c r="K289" s="71"/>
    </row>
    <row r="290" ht="17.25" customHeight="1">
      <c r="A290" s="61"/>
      <c r="B290" s="63" t="b">
        <v>0</v>
      </c>
      <c r="C290" s="64">
        <v>283.0</v>
      </c>
      <c r="D290" s="65">
        <v>45477.0</v>
      </c>
      <c r="E290" s="67" t="s">
        <v>399</v>
      </c>
      <c r="F290" s="67" t="s">
        <v>24</v>
      </c>
      <c r="G290" s="69">
        <f>SUMPRODUCT(('⚙️Pengaturan'!$C$3:$C$100=$F290)*('⚙️Pengaturan'!$D$3:$D$100))</f>
        <v>250000</v>
      </c>
      <c r="H290" s="70" t="s">
        <v>28</v>
      </c>
      <c r="I290" s="69"/>
      <c r="J290" s="69">
        <f t="shared" si="1"/>
        <v>250000</v>
      </c>
      <c r="K290" s="71"/>
    </row>
    <row r="291" ht="17.25" customHeight="1">
      <c r="A291" s="61"/>
      <c r="B291" s="63" t="b">
        <v>0</v>
      </c>
      <c r="C291" s="64">
        <v>284.0</v>
      </c>
      <c r="D291" s="65">
        <v>45477.0</v>
      </c>
      <c r="E291" s="67" t="s">
        <v>391</v>
      </c>
      <c r="F291" s="67" t="s">
        <v>44</v>
      </c>
      <c r="G291" s="69">
        <f>SUMPRODUCT(('⚙️Pengaturan'!$C$3:$C$100=$F291)*('⚙️Pengaturan'!$D$3:$D$100))</f>
        <v>150000</v>
      </c>
      <c r="H291" s="70" t="s">
        <v>28</v>
      </c>
      <c r="I291" s="69"/>
      <c r="J291" s="69">
        <f t="shared" si="1"/>
        <v>150000</v>
      </c>
      <c r="K291" s="71"/>
    </row>
    <row r="292" ht="17.25" customHeight="1">
      <c r="A292" s="61"/>
      <c r="B292" s="63" t="b">
        <v>0</v>
      </c>
      <c r="C292" s="64">
        <v>285.0</v>
      </c>
      <c r="D292" s="65">
        <v>45477.0</v>
      </c>
      <c r="E292" s="67" t="s">
        <v>400</v>
      </c>
      <c r="F292" s="67" t="s">
        <v>24</v>
      </c>
      <c r="G292" s="69">
        <f>SUMPRODUCT(('⚙️Pengaturan'!$C$3:$C$100=$F292)*('⚙️Pengaturan'!$D$3:$D$100))</f>
        <v>250000</v>
      </c>
      <c r="H292" s="70" t="s">
        <v>63</v>
      </c>
      <c r="I292" s="69"/>
      <c r="J292" s="69">
        <f t="shared" si="1"/>
        <v>250000</v>
      </c>
      <c r="K292" s="71"/>
    </row>
    <row r="293" ht="17.25" customHeight="1">
      <c r="A293" s="61"/>
      <c r="B293" s="63" t="b">
        <v>0</v>
      </c>
      <c r="C293" s="64">
        <v>286.0</v>
      </c>
      <c r="D293" s="65">
        <v>45477.0</v>
      </c>
      <c r="E293" s="67" t="s">
        <v>400</v>
      </c>
      <c r="F293" s="67" t="s">
        <v>133</v>
      </c>
      <c r="G293" s="69">
        <f>SUMPRODUCT(('⚙️Pengaturan'!$C$3:$C$100=$F293)*('⚙️Pengaturan'!$D$3:$D$100))</f>
        <v>1800000</v>
      </c>
      <c r="H293" s="70" t="s">
        <v>63</v>
      </c>
      <c r="I293" s="69"/>
      <c r="J293" s="69">
        <f t="shared" si="1"/>
        <v>1800000</v>
      </c>
      <c r="K293" s="71"/>
    </row>
    <row r="294" ht="17.25" customHeight="1">
      <c r="A294" s="61"/>
      <c r="B294" s="63" t="b">
        <v>0</v>
      </c>
      <c r="C294" s="64">
        <v>287.0</v>
      </c>
      <c r="D294" s="65">
        <v>45477.0</v>
      </c>
      <c r="E294" s="67" t="s">
        <v>390</v>
      </c>
      <c r="F294" s="67" t="s">
        <v>44</v>
      </c>
      <c r="G294" s="69">
        <f>SUMPRODUCT(('⚙️Pengaturan'!$C$3:$C$100=$F294)*('⚙️Pengaturan'!$D$3:$D$100))</f>
        <v>150000</v>
      </c>
      <c r="H294" s="70" t="s">
        <v>28</v>
      </c>
      <c r="I294" s="69"/>
      <c r="J294" s="69">
        <f t="shared" si="1"/>
        <v>150000</v>
      </c>
      <c r="K294" s="71"/>
    </row>
    <row r="295" ht="17.25" customHeight="1">
      <c r="A295" s="61"/>
      <c r="B295" s="63" t="b">
        <v>0</v>
      </c>
      <c r="C295" s="64">
        <v>288.0</v>
      </c>
      <c r="D295" s="65">
        <v>45477.0</v>
      </c>
      <c r="E295" s="67" t="s">
        <v>397</v>
      </c>
      <c r="F295" s="67" t="s">
        <v>44</v>
      </c>
      <c r="G295" s="69">
        <f>SUMPRODUCT(('⚙️Pengaturan'!$C$3:$C$100=$F295)*('⚙️Pengaturan'!$D$3:$D$100))</f>
        <v>150000</v>
      </c>
      <c r="H295" s="70" t="s">
        <v>28</v>
      </c>
      <c r="I295" s="69"/>
      <c r="J295" s="69">
        <f t="shared" si="1"/>
        <v>150000</v>
      </c>
      <c r="K295" s="71"/>
    </row>
    <row r="296" ht="17.25" customHeight="1">
      <c r="A296" s="61"/>
      <c r="B296" s="63" t="b">
        <v>0</v>
      </c>
      <c r="C296" s="64">
        <v>289.0</v>
      </c>
      <c r="D296" s="65">
        <v>45479.0</v>
      </c>
      <c r="E296" s="67" t="s">
        <v>401</v>
      </c>
      <c r="F296" s="67" t="s">
        <v>24</v>
      </c>
      <c r="G296" s="69">
        <f>SUMPRODUCT(('⚙️Pengaturan'!$C$3:$C$100=$F296)*('⚙️Pengaturan'!$D$3:$D$100))</f>
        <v>250000</v>
      </c>
      <c r="H296" s="70" t="s">
        <v>28</v>
      </c>
      <c r="I296" s="69"/>
      <c r="J296" s="69">
        <f t="shared" si="1"/>
        <v>250000</v>
      </c>
      <c r="K296" s="71"/>
    </row>
    <row r="297" ht="17.25" customHeight="1">
      <c r="A297" s="61"/>
      <c r="B297" s="63" t="b">
        <v>0</v>
      </c>
      <c r="C297" s="64">
        <v>290.0</v>
      </c>
      <c r="D297" s="65">
        <v>45479.0</v>
      </c>
      <c r="E297" s="67" t="s">
        <v>402</v>
      </c>
      <c r="F297" s="67" t="s">
        <v>24</v>
      </c>
      <c r="G297" s="69">
        <f>SUMPRODUCT(('⚙️Pengaturan'!$C$3:$C$100=$F297)*('⚙️Pengaturan'!$D$3:$D$100))</f>
        <v>250000</v>
      </c>
      <c r="H297" s="70" t="s">
        <v>28</v>
      </c>
      <c r="I297" s="69"/>
      <c r="J297" s="69">
        <f t="shared" si="1"/>
        <v>250000</v>
      </c>
      <c r="K297" s="71"/>
    </row>
    <row r="298" ht="17.25" customHeight="1">
      <c r="A298" s="61"/>
      <c r="B298" s="63" t="b">
        <v>0</v>
      </c>
      <c r="C298" s="64">
        <v>291.0</v>
      </c>
      <c r="D298" s="65">
        <v>45479.0</v>
      </c>
      <c r="E298" s="67" t="s">
        <v>398</v>
      </c>
      <c r="F298" s="67" t="s">
        <v>53</v>
      </c>
      <c r="G298" s="69">
        <f>SUMPRODUCT(('⚙️Pengaturan'!$C$3:$C$100=$F298)*('⚙️Pengaturan'!$D$3:$D$100))</f>
        <v>650000</v>
      </c>
      <c r="H298" s="70" t="s">
        <v>28</v>
      </c>
      <c r="I298" s="69">
        <v>350000.0</v>
      </c>
      <c r="J298" s="69">
        <f t="shared" si="1"/>
        <v>300000</v>
      </c>
      <c r="K298" s="71"/>
    </row>
    <row r="299" ht="17.25" customHeight="1">
      <c r="A299" s="61"/>
      <c r="B299" s="63" t="b">
        <v>0</v>
      </c>
      <c r="C299" s="64">
        <v>292.0</v>
      </c>
      <c r="D299" s="65">
        <v>45481.0</v>
      </c>
      <c r="E299" s="67" t="s">
        <v>372</v>
      </c>
      <c r="F299" s="67" t="s">
        <v>44</v>
      </c>
      <c r="G299" s="69">
        <f>SUMPRODUCT(('⚙️Pengaturan'!$C$3:$C$100=$F299)*('⚙️Pengaturan'!$D$3:$D$100))</f>
        <v>150000</v>
      </c>
      <c r="H299" s="70" t="s">
        <v>63</v>
      </c>
      <c r="I299" s="69"/>
      <c r="J299" s="69">
        <f t="shared" si="1"/>
        <v>150000</v>
      </c>
      <c r="K299" s="71"/>
    </row>
    <row r="300" ht="17.25" customHeight="1">
      <c r="A300" s="61"/>
      <c r="B300" s="63" t="b">
        <v>0</v>
      </c>
      <c r="C300" s="64">
        <v>293.0</v>
      </c>
      <c r="D300" s="65">
        <v>45481.0</v>
      </c>
      <c r="E300" s="67" t="s">
        <v>403</v>
      </c>
      <c r="F300" s="67" t="s">
        <v>24</v>
      </c>
      <c r="G300" s="69">
        <f>SUMPRODUCT(('⚙️Pengaturan'!$C$3:$C$100=$F300)*('⚙️Pengaturan'!$D$3:$D$100))</f>
        <v>250000</v>
      </c>
      <c r="H300" s="70" t="s">
        <v>28</v>
      </c>
      <c r="I300" s="69"/>
      <c r="J300" s="69">
        <f t="shared" si="1"/>
        <v>250000</v>
      </c>
      <c r="K300" s="71"/>
    </row>
    <row r="301" ht="17.25" customHeight="1">
      <c r="A301" s="61"/>
      <c r="B301" s="63" t="b">
        <v>0</v>
      </c>
      <c r="C301" s="64">
        <v>294.0</v>
      </c>
      <c r="D301" s="65">
        <v>45481.0</v>
      </c>
      <c r="E301" s="67" t="s">
        <v>402</v>
      </c>
      <c r="F301" s="67" t="s">
        <v>53</v>
      </c>
      <c r="G301" s="69">
        <f>SUMPRODUCT(('⚙️Pengaturan'!$C$3:$C$100=$F301)*('⚙️Pengaturan'!$D$3:$D$100))</f>
        <v>650000</v>
      </c>
      <c r="H301" s="70" t="s">
        <v>63</v>
      </c>
      <c r="I301" s="69"/>
      <c r="J301" s="69">
        <f t="shared" si="1"/>
        <v>650000</v>
      </c>
      <c r="K301" s="71"/>
    </row>
    <row r="302" ht="17.25" customHeight="1">
      <c r="A302" s="61"/>
      <c r="B302" s="63" t="b">
        <v>0</v>
      </c>
      <c r="C302" s="64">
        <v>295.0</v>
      </c>
      <c r="D302" s="65">
        <v>45481.0</v>
      </c>
      <c r="E302" s="67" t="s">
        <v>404</v>
      </c>
      <c r="F302" s="67" t="s">
        <v>24</v>
      </c>
      <c r="G302" s="69">
        <f>SUMPRODUCT(('⚙️Pengaturan'!$C$3:$C$100=$F302)*('⚙️Pengaturan'!$D$3:$D$100))</f>
        <v>250000</v>
      </c>
      <c r="H302" s="70" t="s">
        <v>28</v>
      </c>
      <c r="I302" s="69"/>
      <c r="J302" s="69">
        <f t="shared" si="1"/>
        <v>250000</v>
      </c>
      <c r="K302" s="71"/>
    </row>
    <row r="303" ht="17.25" customHeight="1">
      <c r="A303" s="61"/>
      <c r="B303" s="63" t="b">
        <v>0</v>
      </c>
      <c r="C303" s="64">
        <v>296.0</v>
      </c>
      <c r="D303" s="65">
        <v>45482.0</v>
      </c>
      <c r="E303" s="67" t="s">
        <v>405</v>
      </c>
      <c r="F303" s="67" t="s">
        <v>24</v>
      </c>
      <c r="G303" s="69">
        <f>SUMPRODUCT(('⚙️Pengaturan'!$C$3:$C$100=$F303)*('⚙️Pengaturan'!$D$3:$D$100))</f>
        <v>250000</v>
      </c>
      <c r="H303" s="70" t="s">
        <v>28</v>
      </c>
      <c r="I303" s="69"/>
      <c r="J303" s="69">
        <f t="shared" si="1"/>
        <v>250000</v>
      </c>
      <c r="K303" s="71"/>
    </row>
    <row r="304" ht="17.25" customHeight="1">
      <c r="A304" s="61"/>
      <c r="B304" s="63" t="b">
        <v>0</v>
      </c>
      <c r="C304" s="64">
        <v>297.0</v>
      </c>
      <c r="D304" s="65">
        <v>45482.0</v>
      </c>
      <c r="E304" s="67" t="s">
        <v>397</v>
      </c>
      <c r="F304" s="67" t="s">
        <v>44</v>
      </c>
      <c r="G304" s="69">
        <f>SUMPRODUCT(('⚙️Pengaturan'!$C$3:$C$100=$F304)*('⚙️Pengaturan'!$D$3:$D$100))</f>
        <v>150000</v>
      </c>
      <c r="H304" s="70" t="s">
        <v>28</v>
      </c>
      <c r="I304" s="69"/>
      <c r="J304" s="69">
        <f t="shared" si="1"/>
        <v>150000</v>
      </c>
      <c r="K304" s="71"/>
    </row>
    <row r="305" ht="17.25" customHeight="1">
      <c r="A305" s="61"/>
      <c r="B305" s="63" t="b">
        <v>0</v>
      </c>
      <c r="C305" s="64">
        <v>298.0</v>
      </c>
      <c r="D305" s="65">
        <v>45482.0</v>
      </c>
      <c r="E305" s="67" t="s">
        <v>390</v>
      </c>
      <c r="F305" s="67" t="s">
        <v>44</v>
      </c>
      <c r="G305" s="69">
        <f>SUMPRODUCT(('⚙️Pengaturan'!$C$3:$C$100=$F305)*('⚙️Pengaturan'!$D$3:$D$100))</f>
        <v>150000</v>
      </c>
      <c r="H305" s="70" t="s">
        <v>63</v>
      </c>
      <c r="I305" s="69"/>
      <c r="J305" s="69">
        <f t="shared" si="1"/>
        <v>150000</v>
      </c>
      <c r="K305" s="71"/>
    </row>
    <row r="306" ht="17.25" customHeight="1">
      <c r="A306" s="61"/>
      <c r="B306" s="63" t="b">
        <v>0</v>
      </c>
      <c r="C306" s="64">
        <v>299.0</v>
      </c>
      <c r="D306" s="65">
        <v>45483.0</v>
      </c>
      <c r="E306" s="67" t="s">
        <v>406</v>
      </c>
      <c r="F306" s="67" t="s">
        <v>53</v>
      </c>
      <c r="G306" s="69">
        <f>SUMPRODUCT(('⚙️Pengaturan'!$C$3:$C$100=$F306)*('⚙️Pengaturan'!$D$3:$D$100))</f>
        <v>650000</v>
      </c>
      <c r="H306" s="70" t="s">
        <v>28</v>
      </c>
      <c r="I306" s="69">
        <v>350000.0</v>
      </c>
      <c r="J306" s="69">
        <f t="shared" si="1"/>
        <v>300000</v>
      </c>
      <c r="K306" s="71"/>
    </row>
    <row r="307" ht="17.25" customHeight="1">
      <c r="A307" s="61"/>
      <c r="B307" s="63" t="b">
        <v>0</v>
      </c>
      <c r="C307" s="64">
        <v>300.0</v>
      </c>
      <c r="D307" s="65">
        <v>45484.0</v>
      </c>
      <c r="E307" s="67" t="s">
        <v>405</v>
      </c>
      <c r="F307" s="67" t="s">
        <v>53</v>
      </c>
      <c r="G307" s="69">
        <f>SUMPRODUCT(('⚙️Pengaturan'!$C$3:$C$100=$F307)*('⚙️Pengaturan'!$D$3:$D$100))</f>
        <v>650000</v>
      </c>
      <c r="H307" s="70" t="s">
        <v>28</v>
      </c>
      <c r="I307" s="69"/>
      <c r="J307" s="69">
        <f t="shared" si="1"/>
        <v>650000</v>
      </c>
      <c r="K307" s="71"/>
    </row>
    <row r="308" ht="17.25" customHeight="1">
      <c r="A308" s="61"/>
      <c r="B308" s="63" t="b">
        <v>0</v>
      </c>
      <c r="C308" s="64">
        <v>301.0</v>
      </c>
      <c r="D308" s="65">
        <v>45484.0</v>
      </c>
      <c r="E308" s="67" t="s">
        <v>407</v>
      </c>
      <c r="F308" s="67" t="s">
        <v>24</v>
      </c>
      <c r="G308" s="69">
        <f>SUMPRODUCT(('⚙️Pengaturan'!$C$3:$C$100=$F308)*('⚙️Pengaturan'!$D$3:$D$100))</f>
        <v>250000</v>
      </c>
      <c r="H308" s="70" t="s">
        <v>28</v>
      </c>
      <c r="I308" s="69"/>
      <c r="J308" s="69">
        <f t="shared" si="1"/>
        <v>250000</v>
      </c>
      <c r="K308" s="71"/>
    </row>
    <row r="309" ht="17.25" customHeight="1">
      <c r="A309" s="61"/>
      <c r="B309" s="63" t="b">
        <v>0</v>
      </c>
      <c r="C309" s="64">
        <v>302.0</v>
      </c>
      <c r="D309" s="65">
        <v>45484.0</v>
      </c>
      <c r="E309" s="67" t="s">
        <v>408</v>
      </c>
      <c r="F309" s="67" t="s">
        <v>24</v>
      </c>
      <c r="G309" s="69">
        <f>SUMPRODUCT(('⚙️Pengaturan'!$C$3:$C$100=$F309)*('⚙️Pengaturan'!$D$3:$D$100))</f>
        <v>250000</v>
      </c>
      <c r="H309" s="70" t="s">
        <v>28</v>
      </c>
      <c r="I309" s="69"/>
      <c r="J309" s="69">
        <f t="shared" si="1"/>
        <v>250000</v>
      </c>
      <c r="K309" s="71"/>
    </row>
    <row r="310" ht="17.25" customHeight="1">
      <c r="A310" s="61"/>
      <c r="B310" s="63" t="b">
        <v>0</v>
      </c>
      <c r="C310" s="64">
        <v>303.0</v>
      </c>
      <c r="D310" s="65">
        <v>45484.0</v>
      </c>
      <c r="E310" s="67" t="s">
        <v>408</v>
      </c>
      <c r="F310" s="67" t="s">
        <v>133</v>
      </c>
      <c r="G310" s="69">
        <f>SUMPRODUCT(('⚙️Pengaturan'!$C$3:$C$100=$F310)*('⚙️Pengaturan'!$D$3:$D$100))</f>
        <v>1800000</v>
      </c>
      <c r="H310" s="70" t="s">
        <v>28</v>
      </c>
      <c r="I310" s="69"/>
      <c r="J310" s="69">
        <f t="shared" si="1"/>
        <v>1800000</v>
      </c>
      <c r="K310" s="71"/>
    </row>
    <row r="311" ht="17.25" customHeight="1">
      <c r="A311" s="61"/>
      <c r="B311" s="63" t="b">
        <v>0</v>
      </c>
      <c r="C311" s="64">
        <v>304.0</v>
      </c>
      <c r="D311" s="65">
        <v>45484.0</v>
      </c>
      <c r="E311" s="67" t="s">
        <v>390</v>
      </c>
      <c r="F311" s="67" t="s">
        <v>44</v>
      </c>
      <c r="G311" s="69">
        <f>SUMPRODUCT(('⚙️Pengaturan'!$C$3:$C$100=$F311)*('⚙️Pengaturan'!$D$3:$D$100))</f>
        <v>150000</v>
      </c>
      <c r="H311" s="70" t="s">
        <v>28</v>
      </c>
      <c r="I311" s="69"/>
      <c r="J311" s="69">
        <f t="shared" si="1"/>
        <v>150000</v>
      </c>
      <c r="K311" s="71"/>
    </row>
    <row r="312" ht="17.25" customHeight="1">
      <c r="A312" s="61"/>
      <c r="B312" s="63" t="b">
        <v>0</v>
      </c>
      <c r="C312" s="64">
        <v>305.0</v>
      </c>
      <c r="D312" s="65">
        <v>45484.0</v>
      </c>
      <c r="E312" s="67" t="s">
        <v>394</v>
      </c>
      <c r="F312" s="67" t="s">
        <v>44</v>
      </c>
      <c r="G312" s="69">
        <f>SUMPRODUCT(('⚙️Pengaturan'!$C$3:$C$100=$F312)*('⚙️Pengaturan'!$D$3:$D$100))</f>
        <v>150000</v>
      </c>
      <c r="H312" s="70" t="s">
        <v>28</v>
      </c>
      <c r="I312" s="69"/>
      <c r="J312" s="69">
        <f t="shared" si="1"/>
        <v>150000</v>
      </c>
      <c r="K312" s="71"/>
    </row>
    <row r="313" ht="17.25" customHeight="1">
      <c r="A313" s="61"/>
      <c r="B313" s="63" t="b">
        <v>0</v>
      </c>
      <c r="C313" s="64">
        <v>306.0</v>
      </c>
      <c r="D313" s="65">
        <v>45486.0</v>
      </c>
      <c r="E313" s="67" t="s">
        <v>409</v>
      </c>
      <c r="F313" s="67" t="s">
        <v>24</v>
      </c>
      <c r="G313" s="69">
        <f>SUMPRODUCT(('⚙️Pengaturan'!$C$3:$C$100=$F313)*('⚙️Pengaturan'!$D$3:$D$100))</f>
        <v>250000</v>
      </c>
      <c r="H313" s="70" t="s">
        <v>28</v>
      </c>
      <c r="I313" s="69"/>
      <c r="J313" s="69">
        <f t="shared" si="1"/>
        <v>250000</v>
      </c>
      <c r="K313" s="71"/>
    </row>
    <row r="314" ht="17.25" customHeight="1">
      <c r="A314" s="61"/>
      <c r="B314" s="63" t="b">
        <v>0</v>
      </c>
      <c r="C314" s="64">
        <v>307.0</v>
      </c>
      <c r="D314" s="65">
        <v>45486.0</v>
      </c>
      <c r="E314" s="67" t="s">
        <v>407</v>
      </c>
      <c r="F314" s="67" t="s">
        <v>44</v>
      </c>
      <c r="G314" s="69">
        <f>SUMPRODUCT(('⚙️Pengaturan'!$C$3:$C$100=$F314)*('⚙️Pengaturan'!$D$3:$D$100))</f>
        <v>150000</v>
      </c>
      <c r="H314" s="70" t="s">
        <v>28</v>
      </c>
      <c r="I314" s="69"/>
      <c r="J314" s="69">
        <f t="shared" si="1"/>
        <v>150000</v>
      </c>
      <c r="K314" s="71"/>
    </row>
    <row r="315" ht="17.25" customHeight="1">
      <c r="A315" s="61"/>
      <c r="B315" s="63" t="b">
        <v>0</v>
      </c>
      <c r="C315" s="64">
        <v>308.0</v>
      </c>
      <c r="D315" s="65">
        <v>45486.0</v>
      </c>
      <c r="E315" s="67" t="s">
        <v>410</v>
      </c>
      <c r="F315" s="67" t="s">
        <v>24</v>
      </c>
      <c r="G315" s="69">
        <f>SUMPRODUCT(('⚙️Pengaturan'!$C$3:$C$100=$F315)*('⚙️Pengaturan'!$D$3:$D$100))</f>
        <v>250000</v>
      </c>
      <c r="H315" s="70" t="s">
        <v>28</v>
      </c>
      <c r="I315" s="69"/>
      <c r="J315" s="69">
        <f t="shared" si="1"/>
        <v>250000</v>
      </c>
      <c r="K315" s="71"/>
    </row>
    <row r="316" ht="17.25" customHeight="1">
      <c r="A316" s="61"/>
      <c r="B316" s="63" t="b">
        <v>0</v>
      </c>
      <c r="C316" s="64">
        <v>309.0</v>
      </c>
      <c r="D316" s="65">
        <v>45486.0</v>
      </c>
      <c r="E316" s="67" t="s">
        <v>411</v>
      </c>
      <c r="F316" s="67" t="s">
        <v>24</v>
      </c>
      <c r="G316" s="69">
        <f>SUMPRODUCT(('⚙️Pengaturan'!$C$3:$C$100=$F316)*('⚙️Pengaturan'!$D$3:$D$100))</f>
        <v>250000</v>
      </c>
      <c r="H316" s="70" t="s">
        <v>28</v>
      </c>
      <c r="I316" s="69"/>
      <c r="J316" s="69">
        <f t="shared" si="1"/>
        <v>250000</v>
      </c>
      <c r="K316" s="71"/>
    </row>
    <row r="317" ht="17.25" customHeight="1">
      <c r="A317" s="61"/>
      <c r="B317" s="63" t="b">
        <v>0</v>
      </c>
      <c r="C317" s="64">
        <v>310.0</v>
      </c>
      <c r="D317" s="65">
        <v>45486.0</v>
      </c>
      <c r="E317" s="67" t="s">
        <v>398</v>
      </c>
      <c r="F317" s="67" t="s">
        <v>53</v>
      </c>
      <c r="G317" s="69">
        <f>SUMPRODUCT(('⚙️Pengaturan'!$C$3:$C$100=$F317)*('⚙️Pengaturan'!$D$3:$D$100))</f>
        <v>650000</v>
      </c>
      <c r="H317" s="70" t="s">
        <v>28</v>
      </c>
      <c r="I317" s="69">
        <v>300000.0</v>
      </c>
      <c r="J317" s="69">
        <f t="shared" si="1"/>
        <v>350000</v>
      </c>
      <c r="K317" s="71"/>
    </row>
    <row r="318" ht="17.25" customHeight="1">
      <c r="A318" s="61"/>
      <c r="B318" s="63" t="b">
        <v>0</v>
      </c>
      <c r="C318" s="64">
        <v>311.0</v>
      </c>
      <c r="D318" s="65">
        <v>45486.0</v>
      </c>
      <c r="E318" s="67" t="s">
        <v>404</v>
      </c>
      <c r="F318" s="67" t="s">
        <v>53</v>
      </c>
      <c r="G318" s="69">
        <f>SUMPRODUCT(('⚙️Pengaturan'!$C$3:$C$100=$F318)*('⚙️Pengaturan'!$D$3:$D$100))</f>
        <v>650000</v>
      </c>
      <c r="H318" s="70" t="s">
        <v>28</v>
      </c>
      <c r="I318" s="69">
        <v>300000.0</v>
      </c>
      <c r="J318" s="69">
        <f t="shared" si="1"/>
        <v>350000</v>
      </c>
      <c r="K318" s="71"/>
    </row>
    <row r="319" ht="17.25" customHeight="1">
      <c r="A319" s="61"/>
      <c r="B319" s="63" t="b">
        <v>0</v>
      </c>
      <c r="C319" s="64">
        <v>312.0</v>
      </c>
      <c r="D319" s="65">
        <v>45487.0</v>
      </c>
      <c r="E319" s="67" t="s">
        <v>392</v>
      </c>
      <c r="F319" s="67" t="s">
        <v>44</v>
      </c>
      <c r="G319" s="69">
        <f>SUMPRODUCT(('⚙️Pengaturan'!$C$3:$C$100=$F319)*('⚙️Pengaturan'!$D$3:$D$100))</f>
        <v>150000</v>
      </c>
      <c r="H319" s="70" t="s">
        <v>28</v>
      </c>
      <c r="I319" s="69"/>
      <c r="J319" s="69">
        <f t="shared" si="1"/>
        <v>150000</v>
      </c>
      <c r="K319" s="71"/>
    </row>
    <row r="320" ht="17.25" customHeight="1">
      <c r="A320" s="61"/>
      <c r="B320" s="63" t="b">
        <v>0</v>
      </c>
      <c r="C320" s="64">
        <v>313.0</v>
      </c>
      <c r="D320" s="65">
        <v>45487.0</v>
      </c>
      <c r="E320" s="67" t="s">
        <v>397</v>
      </c>
      <c r="F320" s="67" t="s">
        <v>44</v>
      </c>
      <c r="G320" s="69">
        <f>SUMPRODUCT(('⚙️Pengaturan'!$C$3:$C$100=$F320)*('⚙️Pengaturan'!$D$3:$D$100))</f>
        <v>150000</v>
      </c>
      <c r="H320" s="70" t="s">
        <v>28</v>
      </c>
      <c r="I320" s="69"/>
      <c r="J320" s="69">
        <f t="shared" si="1"/>
        <v>150000</v>
      </c>
      <c r="K320" s="71"/>
    </row>
    <row r="321" ht="17.25" customHeight="1">
      <c r="A321" s="61"/>
      <c r="B321" s="63" t="b">
        <v>0</v>
      </c>
      <c r="C321" s="64">
        <v>314.0</v>
      </c>
      <c r="D321" s="65">
        <v>45488.0</v>
      </c>
      <c r="E321" s="67" t="s">
        <v>409</v>
      </c>
      <c r="F321" s="67" t="s">
        <v>53</v>
      </c>
      <c r="G321" s="69">
        <f>SUMPRODUCT(('⚙️Pengaturan'!$C$3:$C$100=$F321)*('⚙️Pengaturan'!$D$3:$D$100))</f>
        <v>650000</v>
      </c>
      <c r="H321" s="70" t="s">
        <v>28</v>
      </c>
      <c r="I321" s="69"/>
      <c r="J321" s="69">
        <f t="shared" si="1"/>
        <v>650000</v>
      </c>
      <c r="K321" s="71"/>
    </row>
    <row r="322" ht="17.25" customHeight="1">
      <c r="A322" s="61"/>
      <c r="B322" s="63" t="b">
        <v>0</v>
      </c>
      <c r="C322" s="64">
        <v>315.0</v>
      </c>
      <c r="D322" s="65">
        <v>45488.0</v>
      </c>
      <c r="E322" s="67" t="s">
        <v>390</v>
      </c>
      <c r="F322" s="67" t="s">
        <v>44</v>
      </c>
      <c r="G322" s="69">
        <f>SUMPRODUCT(('⚙️Pengaturan'!$C$3:$C$100=$F322)*('⚙️Pengaturan'!$D$3:$D$100))</f>
        <v>150000</v>
      </c>
      <c r="H322" s="70" t="s">
        <v>28</v>
      </c>
      <c r="I322" s="69"/>
      <c r="J322" s="69">
        <f t="shared" si="1"/>
        <v>150000</v>
      </c>
      <c r="K322" s="71"/>
    </row>
    <row r="323" ht="17.25" customHeight="1">
      <c r="A323" s="61"/>
      <c r="B323" s="63" t="b">
        <v>0</v>
      </c>
      <c r="C323" s="64">
        <v>316.0</v>
      </c>
      <c r="D323" s="65">
        <v>45489.0</v>
      </c>
      <c r="E323" s="67" t="s">
        <v>376</v>
      </c>
      <c r="F323" s="67" t="s">
        <v>67</v>
      </c>
      <c r="G323" s="69">
        <f>SUMPRODUCT(('⚙️Pengaturan'!$C$3:$C$100=$F323)*('⚙️Pengaturan'!$D$3:$D$100))</f>
        <v>1200000</v>
      </c>
      <c r="H323" s="70" t="s">
        <v>28</v>
      </c>
      <c r="I323" s="69"/>
      <c r="J323" s="69">
        <f t="shared" si="1"/>
        <v>1200000</v>
      </c>
      <c r="K323" s="71"/>
    </row>
    <row r="324" ht="17.25" customHeight="1">
      <c r="A324" s="61"/>
      <c r="B324" s="63" t="b">
        <v>0</v>
      </c>
      <c r="C324" s="64">
        <v>317.0</v>
      </c>
      <c r="D324" s="65">
        <v>45489.0</v>
      </c>
      <c r="E324" s="67" t="s">
        <v>411</v>
      </c>
      <c r="F324" s="67" t="s">
        <v>53</v>
      </c>
      <c r="G324" s="69">
        <f>SUMPRODUCT(('⚙️Pengaturan'!$C$3:$C$100=$F324)*('⚙️Pengaturan'!$D$3:$D$100))</f>
        <v>650000</v>
      </c>
      <c r="H324" s="70" t="s">
        <v>28</v>
      </c>
      <c r="I324" s="69"/>
      <c r="J324" s="69">
        <f t="shared" si="1"/>
        <v>650000</v>
      </c>
      <c r="K324" s="71"/>
    </row>
    <row r="325" ht="17.25" customHeight="1">
      <c r="A325" s="61"/>
      <c r="B325" s="63" t="b">
        <v>0</v>
      </c>
      <c r="C325" s="64">
        <v>318.0</v>
      </c>
      <c r="D325" s="65">
        <v>45490.0</v>
      </c>
      <c r="E325" s="67" t="s">
        <v>415</v>
      </c>
      <c r="F325" s="67" t="s">
        <v>24</v>
      </c>
      <c r="G325" s="69">
        <f>SUMPRODUCT(('⚙️Pengaturan'!$C$3:$C$100=$F325)*('⚙️Pengaturan'!$D$3:$D$100))</f>
        <v>250000</v>
      </c>
      <c r="H325" s="70" t="s">
        <v>28</v>
      </c>
      <c r="I325" s="69"/>
      <c r="J325" s="69">
        <f t="shared" si="1"/>
        <v>250000</v>
      </c>
      <c r="K325" s="71"/>
    </row>
    <row r="326" ht="17.25" customHeight="1">
      <c r="A326" s="61"/>
      <c r="B326" s="63" t="b">
        <v>0</v>
      </c>
      <c r="C326" s="64">
        <v>319.0</v>
      </c>
      <c r="D326" s="65">
        <v>45490.0</v>
      </c>
      <c r="E326" s="67" t="s">
        <v>416</v>
      </c>
      <c r="F326" s="67" t="s">
        <v>24</v>
      </c>
      <c r="G326" s="69">
        <f>SUMPRODUCT(('⚙️Pengaturan'!$C$3:$C$100=$F326)*('⚙️Pengaturan'!$D$3:$D$100))</f>
        <v>250000</v>
      </c>
      <c r="H326" s="70" t="s">
        <v>63</v>
      </c>
      <c r="I326" s="69"/>
      <c r="J326" s="69">
        <f t="shared" si="1"/>
        <v>250000</v>
      </c>
      <c r="K326" s="71"/>
    </row>
    <row r="327" ht="17.25" customHeight="1">
      <c r="A327" s="61"/>
      <c r="B327" s="63" t="b">
        <v>0</v>
      </c>
      <c r="C327" s="64">
        <v>320.0</v>
      </c>
      <c r="D327" s="65">
        <v>45490.0</v>
      </c>
      <c r="E327" s="67" t="s">
        <v>199</v>
      </c>
      <c r="F327" s="67" t="s">
        <v>67</v>
      </c>
      <c r="G327" s="69">
        <f>SUMPRODUCT(('⚙️Pengaturan'!$C$3:$C$100=$F327)*('⚙️Pengaturan'!$D$3:$D$100))</f>
        <v>1200000</v>
      </c>
      <c r="H327" s="70" t="s">
        <v>28</v>
      </c>
      <c r="I327" s="69">
        <v>900000.0</v>
      </c>
      <c r="J327" s="69">
        <f t="shared" si="1"/>
        <v>300000</v>
      </c>
      <c r="K327" s="71"/>
    </row>
    <row r="328" ht="17.25" customHeight="1">
      <c r="A328" s="61"/>
      <c r="B328" s="63" t="b">
        <v>0</v>
      </c>
      <c r="C328" s="64">
        <v>321.0</v>
      </c>
      <c r="D328" s="65">
        <v>45490.0</v>
      </c>
      <c r="E328" s="67" t="s">
        <v>392</v>
      </c>
      <c r="F328" s="67" t="s">
        <v>53</v>
      </c>
      <c r="G328" s="69">
        <f>SUMPRODUCT(('⚙️Pengaturan'!$C$3:$C$100=$F328)*('⚙️Pengaturan'!$D$3:$D$100))</f>
        <v>650000</v>
      </c>
      <c r="H328" s="70" t="s">
        <v>28</v>
      </c>
      <c r="I328" s="69"/>
      <c r="J328" s="69">
        <f t="shared" si="1"/>
        <v>650000</v>
      </c>
      <c r="K328" s="71"/>
    </row>
    <row r="329" ht="17.25" customHeight="1">
      <c r="A329" s="61"/>
      <c r="B329" s="63" t="b">
        <v>0</v>
      </c>
      <c r="C329" s="64">
        <v>322.0</v>
      </c>
      <c r="D329" s="65">
        <v>45490.0</v>
      </c>
      <c r="E329" s="67" t="s">
        <v>417</v>
      </c>
      <c r="F329" s="67" t="s">
        <v>24</v>
      </c>
      <c r="G329" s="69">
        <f>SUMPRODUCT(('⚙️Pengaturan'!$C$3:$C$100=$F329)*('⚙️Pengaturan'!$D$3:$D$100))</f>
        <v>250000</v>
      </c>
      <c r="H329" s="70" t="s">
        <v>63</v>
      </c>
      <c r="I329" s="69"/>
      <c r="J329" s="69">
        <f t="shared" si="1"/>
        <v>250000</v>
      </c>
      <c r="K329" s="71"/>
    </row>
    <row r="330" ht="17.25" customHeight="1">
      <c r="A330" s="61"/>
      <c r="B330" s="63" t="b">
        <v>0</v>
      </c>
      <c r="C330" s="64">
        <v>323.0</v>
      </c>
      <c r="D330" s="65">
        <v>45491.0</v>
      </c>
      <c r="E330" s="67" t="s">
        <v>418</v>
      </c>
      <c r="F330" s="67" t="s">
        <v>24</v>
      </c>
      <c r="G330" s="69">
        <f>SUMPRODUCT(('⚙️Pengaturan'!$C$3:$C$100=$F330)*('⚙️Pengaturan'!$D$3:$D$100))</f>
        <v>250000</v>
      </c>
      <c r="H330" s="70" t="s">
        <v>28</v>
      </c>
      <c r="I330" s="69"/>
      <c r="J330" s="69">
        <f t="shared" si="1"/>
        <v>250000</v>
      </c>
      <c r="K330" s="71"/>
    </row>
    <row r="331" ht="17.25" customHeight="1">
      <c r="A331" s="61"/>
      <c r="B331" s="63" t="b">
        <v>0</v>
      </c>
      <c r="C331" s="64">
        <v>324.0</v>
      </c>
      <c r="D331" s="65">
        <v>45491.0</v>
      </c>
      <c r="E331" s="67" t="s">
        <v>419</v>
      </c>
      <c r="F331" s="67" t="s">
        <v>24</v>
      </c>
      <c r="G331" s="69">
        <f>SUMPRODUCT(('⚙️Pengaturan'!$C$3:$C$100=$F331)*('⚙️Pengaturan'!$D$3:$D$100))</f>
        <v>250000</v>
      </c>
      <c r="H331" s="70" t="s">
        <v>28</v>
      </c>
      <c r="I331" s="69"/>
      <c r="J331" s="69">
        <f t="shared" si="1"/>
        <v>250000</v>
      </c>
      <c r="K331" s="71"/>
    </row>
    <row r="332" ht="17.25" customHeight="1">
      <c r="A332" s="61"/>
      <c r="B332" s="63" t="b">
        <v>0</v>
      </c>
      <c r="C332" s="64">
        <v>325.0</v>
      </c>
      <c r="D332" s="65">
        <v>45491.0</v>
      </c>
      <c r="E332" s="67" t="s">
        <v>416</v>
      </c>
      <c r="F332" s="67" t="s">
        <v>44</v>
      </c>
      <c r="G332" s="69">
        <f>SUMPRODUCT(('⚙️Pengaturan'!$C$3:$C$100=$F332)*('⚙️Pengaturan'!$D$3:$D$100))</f>
        <v>150000</v>
      </c>
      <c r="H332" s="70" t="s">
        <v>28</v>
      </c>
      <c r="I332" s="69"/>
      <c r="J332" s="69">
        <f t="shared" si="1"/>
        <v>150000</v>
      </c>
      <c r="K332" s="71"/>
    </row>
    <row r="333" ht="17.25" customHeight="1">
      <c r="A333" s="61"/>
      <c r="B333" s="63" t="b">
        <v>0</v>
      </c>
      <c r="C333" s="64">
        <v>326.0</v>
      </c>
      <c r="D333" s="65">
        <v>45491.0</v>
      </c>
      <c r="E333" s="67" t="s">
        <v>390</v>
      </c>
      <c r="F333" s="67" t="s">
        <v>44</v>
      </c>
      <c r="G333" s="69">
        <f>SUMPRODUCT(('⚙️Pengaturan'!$C$3:$C$100=$F333)*('⚙️Pengaturan'!$D$3:$D$100))</f>
        <v>150000</v>
      </c>
      <c r="H333" s="70" t="s">
        <v>28</v>
      </c>
      <c r="I333" s="69"/>
      <c r="J333" s="69">
        <f t="shared" si="1"/>
        <v>150000</v>
      </c>
      <c r="K333" s="71"/>
    </row>
    <row r="334" ht="17.25" customHeight="1">
      <c r="A334" s="61"/>
      <c r="B334" s="63" t="b">
        <v>0</v>
      </c>
      <c r="C334" s="64">
        <v>327.0</v>
      </c>
      <c r="D334" s="65">
        <v>45493.0</v>
      </c>
      <c r="E334" s="67" t="s">
        <v>416</v>
      </c>
      <c r="F334" s="67" t="s">
        <v>44</v>
      </c>
      <c r="G334" s="69">
        <f>SUMPRODUCT(('⚙️Pengaturan'!$C$3:$C$100=$F334)*('⚙️Pengaturan'!$D$3:$D$100))</f>
        <v>150000</v>
      </c>
      <c r="H334" s="70" t="s">
        <v>28</v>
      </c>
      <c r="I334" s="69"/>
      <c r="J334" s="69">
        <f t="shared" si="1"/>
        <v>150000</v>
      </c>
      <c r="K334" s="71"/>
    </row>
    <row r="335" ht="17.25" customHeight="1">
      <c r="A335" s="61"/>
      <c r="B335" s="63" t="b">
        <v>0</v>
      </c>
      <c r="C335" s="64">
        <v>328.0</v>
      </c>
      <c r="D335" s="65">
        <v>45493.0</v>
      </c>
      <c r="E335" s="67" t="s">
        <v>420</v>
      </c>
      <c r="F335" s="67" t="s">
        <v>24</v>
      </c>
      <c r="G335" s="69">
        <f>SUMPRODUCT(('⚙️Pengaturan'!$C$3:$C$100=$F335)*('⚙️Pengaturan'!$D$3:$D$100))</f>
        <v>250000</v>
      </c>
      <c r="H335" s="70" t="s">
        <v>28</v>
      </c>
      <c r="I335" s="69"/>
      <c r="J335" s="69">
        <f t="shared" si="1"/>
        <v>250000</v>
      </c>
      <c r="K335" s="71"/>
    </row>
    <row r="336" ht="17.25" customHeight="1">
      <c r="A336" s="61"/>
      <c r="B336" s="63" t="b">
        <v>0</v>
      </c>
      <c r="C336" s="64">
        <v>329.0</v>
      </c>
      <c r="D336" s="65">
        <v>45493.0</v>
      </c>
      <c r="E336" s="67" t="s">
        <v>367</v>
      </c>
      <c r="F336" s="67" t="s">
        <v>53</v>
      </c>
      <c r="G336" s="69">
        <f>SUMPRODUCT(('⚙️Pengaturan'!$C$3:$C$100=$F336)*('⚙️Pengaturan'!$D$3:$D$100))</f>
        <v>650000</v>
      </c>
      <c r="H336" s="70" t="s">
        <v>28</v>
      </c>
      <c r="I336" s="69"/>
      <c r="J336" s="69">
        <f t="shared" si="1"/>
        <v>650000</v>
      </c>
      <c r="K336" s="71"/>
    </row>
    <row r="337" ht="17.25" customHeight="1">
      <c r="A337" s="61"/>
      <c r="B337" s="63" t="b">
        <v>0</v>
      </c>
      <c r="C337" s="64">
        <v>330.0</v>
      </c>
      <c r="D337" s="65">
        <v>45494.0</v>
      </c>
      <c r="E337" s="67" t="s">
        <v>421</v>
      </c>
      <c r="F337" s="67" t="s">
        <v>44</v>
      </c>
      <c r="G337" s="69">
        <f>SUMPRODUCT(('⚙️Pengaturan'!$C$3:$C$100=$F337)*('⚙️Pengaturan'!$D$3:$D$100))</f>
        <v>150000</v>
      </c>
      <c r="H337" s="70" t="s">
        <v>28</v>
      </c>
      <c r="I337" s="69"/>
      <c r="J337" s="69">
        <f t="shared" si="1"/>
        <v>150000</v>
      </c>
      <c r="K337" s="71"/>
    </row>
    <row r="338" ht="17.25" customHeight="1">
      <c r="A338" s="61"/>
      <c r="B338" s="63" t="b">
        <v>0</v>
      </c>
      <c r="C338" s="64">
        <v>331.0</v>
      </c>
      <c r="D338" s="65">
        <v>45494.0</v>
      </c>
      <c r="E338" s="67" t="s">
        <v>418</v>
      </c>
      <c r="F338" s="67" t="s">
        <v>44</v>
      </c>
      <c r="G338" s="69">
        <f>SUMPRODUCT(('⚙️Pengaturan'!$C$3:$C$100=$F338)*('⚙️Pengaturan'!$D$3:$D$100))</f>
        <v>150000</v>
      </c>
      <c r="H338" s="70" t="s">
        <v>28</v>
      </c>
      <c r="I338" s="69"/>
      <c r="J338" s="69">
        <f t="shared" si="1"/>
        <v>150000</v>
      </c>
      <c r="K338" s="71"/>
    </row>
    <row r="339" ht="17.25" customHeight="1">
      <c r="A339" s="61"/>
      <c r="B339" s="63" t="b">
        <v>0</v>
      </c>
      <c r="C339" s="64">
        <v>332.0</v>
      </c>
      <c r="D339" s="65">
        <v>45494.0</v>
      </c>
      <c r="E339" s="67" t="s">
        <v>416</v>
      </c>
      <c r="F339" s="67" t="s">
        <v>44</v>
      </c>
      <c r="G339" s="69">
        <f>SUMPRODUCT(('⚙️Pengaturan'!$C$3:$C$100=$F339)*('⚙️Pengaturan'!$D$3:$D$100))</f>
        <v>150000</v>
      </c>
      <c r="H339" s="70" t="s">
        <v>28</v>
      </c>
      <c r="I339" s="69"/>
      <c r="J339" s="69">
        <f t="shared" si="1"/>
        <v>150000</v>
      </c>
      <c r="K339" s="71"/>
    </row>
    <row r="340" ht="17.25" customHeight="1">
      <c r="A340" s="61"/>
      <c r="B340" s="63" t="b">
        <v>0</v>
      </c>
      <c r="C340" s="64">
        <v>333.0</v>
      </c>
      <c r="D340" s="65">
        <v>45494.0</v>
      </c>
      <c r="E340" s="67" t="s">
        <v>422</v>
      </c>
      <c r="F340" s="67" t="s">
        <v>24</v>
      </c>
      <c r="G340" s="69">
        <f>SUMPRODUCT(('⚙️Pengaturan'!$C$3:$C$100=$F340)*('⚙️Pengaturan'!$D$3:$D$100))</f>
        <v>250000</v>
      </c>
      <c r="H340" s="70" t="s">
        <v>28</v>
      </c>
      <c r="I340" s="69"/>
      <c r="J340" s="69">
        <f t="shared" si="1"/>
        <v>250000</v>
      </c>
      <c r="K340" s="71"/>
    </row>
    <row r="341" ht="17.25" customHeight="1">
      <c r="A341" s="61"/>
      <c r="B341" s="63" t="b">
        <v>0</v>
      </c>
      <c r="C341" s="64">
        <v>334.0</v>
      </c>
      <c r="D341" s="65">
        <v>45494.0</v>
      </c>
      <c r="E341" s="67" t="s">
        <v>423</v>
      </c>
      <c r="F341" s="67" t="s">
        <v>24</v>
      </c>
      <c r="G341" s="69">
        <f>SUMPRODUCT(('⚙️Pengaturan'!$C$3:$C$100=$F341)*('⚙️Pengaturan'!$D$3:$D$100))</f>
        <v>250000</v>
      </c>
      <c r="H341" s="70" t="s">
        <v>28</v>
      </c>
      <c r="I341" s="69"/>
      <c r="J341" s="69">
        <f t="shared" si="1"/>
        <v>250000</v>
      </c>
      <c r="K341" s="71"/>
    </row>
    <row r="342" ht="17.25" customHeight="1">
      <c r="A342" s="61"/>
      <c r="B342" s="63" t="b">
        <v>0</v>
      </c>
      <c r="C342" s="64">
        <v>335.0</v>
      </c>
      <c r="D342" s="65">
        <v>45495.0</v>
      </c>
      <c r="E342" s="67" t="s">
        <v>424</v>
      </c>
      <c r="F342" s="67" t="s">
        <v>24</v>
      </c>
      <c r="G342" s="69">
        <f>SUMPRODUCT(('⚙️Pengaturan'!$C$3:$C$100=$F342)*('⚙️Pengaturan'!$D$3:$D$100))</f>
        <v>250000</v>
      </c>
      <c r="H342" s="70" t="s">
        <v>28</v>
      </c>
      <c r="I342" s="69"/>
      <c r="J342" s="69">
        <f t="shared" si="1"/>
        <v>250000</v>
      </c>
      <c r="K342" s="71"/>
    </row>
    <row r="343" ht="17.25" customHeight="1">
      <c r="A343" s="61"/>
      <c r="B343" s="63" t="b">
        <v>0</v>
      </c>
      <c r="C343" s="64">
        <v>336.0</v>
      </c>
      <c r="D343" s="65">
        <v>45495.0</v>
      </c>
      <c r="E343" s="67" t="s">
        <v>425</v>
      </c>
      <c r="F343" s="67" t="s">
        <v>24</v>
      </c>
      <c r="G343" s="69">
        <f>SUMPRODUCT(('⚙️Pengaturan'!$C$3:$C$100=$F343)*('⚙️Pengaturan'!$D$3:$D$100))</f>
        <v>250000</v>
      </c>
      <c r="H343" s="70" t="s">
        <v>28</v>
      </c>
      <c r="I343" s="69"/>
      <c r="J343" s="69">
        <f t="shared" si="1"/>
        <v>250000</v>
      </c>
      <c r="K343" s="71"/>
    </row>
    <row r="344" ht="17.25" customHeight="1">
      <c r="A344" s="61"/>
      <c r="B344" s="63" t="b">
        <v>0</v>
      </c>
      <c r="C344" s="64">
        <v>337.0</v>
      </c>
      <c r="D344" s="65">
        <v>45495.0</v>
      </c>
      <c r="E344" s="67" t="s">
        <v>425</v>
      </c>
      <c r="F344" s="67" t="s">
        <v>53</v>
      </c>
      <c r="G344" s="69">
        <f>SUMPRODUCT(('⚙️Pengaturan'!$C$3:$C$100=$F344)*('⚙️Pengaturan'!$D$3:$D$100))</f>
        <v>650000</v>
      </c>
      <c r="H344" s="70" t="s">
        <v>28</v>
      </c>
      <c r="I344" s="69">
        <v>350000.0</v>
      </c>
      <c r="J344" s="69">
        <f t="shared" si="1"/>
        <v>300000</v>
      </c>
      <c r="K344" s="71"/>
    </row>
    <row r="345" ht="17.25" customHeight="1">
      <c r="A345" s="61"/>
      <c r="B345" s="63" t="b">
        <v>0</v>
      </c>
      <c r="C345" s="64">
        <v>338.0</v>
      </c>
      <c r="D345" s="65">
        <v>45495.0</v>
      </c>
      <c r="E345" s="67" t="s">
        <v>426</v>
      </c>
      <c r="F345" s="67" t="s">
        <v>53</v>
      </c>
      <c r="G345" s="69">
        <f>SUMPRODUCT(('⚙️Pengaturan'!$C$3:$C$100=$F345)*('⚙️Pengaturan'!$D$3:$D$100))</f>
        <v>650000</v>
      </c>
      <c r="H345" s="70" t="s">
        <v>63</v>
      </c>
      <c r="I345" s="69"/>
      <c r="J345" s="69">
        <f t="shared" si="1"/>
        <v>650000</v>
      </c>
      <c r="K345" s="71"/>
    </row>
    <row r="346" ht="17.25" customHeight="1">
      <c r="A346" s="61"/>
      <c r="B346" s="63" t="b">
        <v>0</v>
      </c>
      <c r="C346" s="64">
        <v>339.0</v>
      </c>
      <c r="D346" s="65">
        <v>45495.0</v>
      </c>
      <c r="E346" s="67" t="s">
        <v>417</v>
      </c>
      <c r="F346" s="67" t="s">
        <v>44</v>
      </c>
      <c r="G346" s="69">
        <f>SUMPRODUCT(('⚙️Pengaturan'!$C$3:$C$100=$F346)*('⚙️Pengaturan'!$D$3:$D$100))</f>
        <v>150000</v>
      </c>
      <c r="H346" s="70" t="s">
        <v>63</v>
      </c>
      <c r="I346" s="69"/>
      <c r="J346" s="69">
        <f t="shared" si="1"/>
        <v>150000</v>
      </c>
      <c r="K346" s="71"/>
    </row>
    <row r="347" ht="17.25" customHeight="1">
      <c r="A347" s="61"/>
      <c r="B347" s="63" t="b">
        <v>0</v>
      </c>
      <c r="C347" s="64">
        <v>340.0</v>
      </c>
      <c r="D347" s="65">
        <v>45495.0</v>
      </c>
      <c r="E347" s="67" t="s">
        <v>390</v>
      </c>
      <c r="F347" s="67" t="s">
        <v>44</v>
      </c>
      <c r="G347" s="69">
        <f>SUMPRODUCT(('⚙️Pengaturan'!$C$3:$C$100=$F347)*('⚙️Pengaturan'!$D$3:$D$100))</f>
        <v>150000</v>
      </c>
      <c r="H347" s="70" t="s">
        <v>28</v>
      </c>
      <c r="I347" s="69"/>
      <c r="J347" s="69">
        <f t="shared" si="1"/>
        <v>150000</v>
      </c>
      <c r="K347" s="71"/>
    </row>
    <row r="348" ht="17.25" customHeight="1">
      <c r="A348" s="61"/>
      <c r="B348" s="63" t="b">
        <v>0</v>
      </c>
      <c r="C348" s="64">
        <v>341.0</v>
      </c>
      <c r="D348" s="65">
        <v>45496.0</v>
      </c>
      <c r="E348" s="67" t="s">
        <v>199</v>
      </c>
      <c r="F348" s="67" t="s">
        <v>67</v>
      </c>
      <c r="G348" s="69">
        <f>SUMPRODUCT(('⚙️Pengaturan'!$C$3:$C$100=$F348)*('⚙️Pengaturan'!$D$3:$D$100))</f>
        <v>1200000</v>
      </c>
      <c r="H348" s="70" t="s">
        <v>28</v>
      </c>
      <c r="I348" s="69">
        <v>300000.0</v>
      </c>
      <c r="J348" s="69">
        <f t="shared" si="1"/>
        <v>900000</v>
      </c>
      <c r="K348" s="71"/>
    </row>
    <row r="349" ht="17.25" customHeight="1">
      <c r="A349" s="61"/>
      <c r="B349" s="63" t="b">
        <v>0</v>
      </c>
      <c r="C349" s="64">
        <v>342.0</v>
      </c>
      <c r="D349" s="65">
        <v>45496.0</v>
      </c>
      <c r="E349" s="67" t="s">
        <v>416</v>
      </c>
      <c r="F349" s="67" t="s">
        <v>44</v>
      </c>
      <c r="G349" s="69">
        <f>SUMPRODUCT(('⚙️Pengaturan'!$C$3:$C$100=$F349)*('⚙️Pengaturan'!$D$3:$D$100))</f>
        <v>150000</v>
      </c>
      <c r="H349" s="70" t="s">
        <v>28</v>
      </c>
      <c r="I349" s="69"/>
      <c r="J349" s="69">
        <f t="shared" si="1"/>
        <v>150000</v>
      </c>
      <c r="K349" s="71"/>
    </row>
    <row r="350" ht="17.25" customHeight="1">
      <c r="A350" s="61"/>
      <c r="B350" s="63" t="b">
        <v>0</v>
      </c>
      <c r="C350" s="64">
        <v>343.0</v>
      </c>
      <c r="D350" s="65">
        <v>45497.0</v>
      </c>
      <c r="E350" s="67" t="s">
        <v>427</v>
      </c>
      <c r="F350" s="67" t="s">
        <v>24</v>
      </c>
      <c r="G350" s="69">
        <f>SUMPRODUCT(('⚙️Pengaturan'!$C$3:$C$100=$F350)*('⚙️Pengaturan'!$D$3:$D$100))</f>
        <v>250000</v>
      </c>
      <c r="H350" s="70" t="s">
        <v>28</v>
      </c>
      <c r="I350" s="69"/>
      <c r="J350" s="69">
        <f t="shared" si="1"/>
        <v>250000</v>
      </c>
      <c r="K350" s="71"/>
    </row>
    <row r="351" ht="17.25" customHeight="1">
      <c r="A351" s="61"/>
      <c r="B351" s="63" t="b">
        <v>0</v>
      </c>
      <c r="C351" s="64">
        <v>344.0</v>
      </c>
      <c r="D351" s="65">
        <v>45497.0</v>
      </c>
      <c r="E351" s="67" t="s">
        <v>427</v>
      </c>
      <c r="F351" s="67" t="s">
        <v>53</v>
      </c>
      <c r="G351" s="69">
        <f>SUMPRODUCT(('⚙️Pengaturan'!$C$3:$C$100=$F351)*('⚙️Pengaturan'!$D$3:$D$100))</f>
        <v>650000</v>
      </c>
      <c r="H351" s="70" t="s">
        <v>28</v>
      </c>
      <c r="I351" s="69"/>
      <c r="J351" s="69">
        <f t="shared" si="1"/>
        <v>650000</v>
      </c>
      <c r="K351" s="71"/>
    </row>
    <row r="352" ht="17.25" customHeight="1">
      <c r="A352" s="61"/>
      <c r="B352" s="63" t="b">
        <v>0</v>
      </c>
      <c r="C352" s="64">
        <v>345.0</v>
      </c>
      <c r="D352" s="65">
        <v>45497.0</v>
      </c>
      <c r="E352" s="67" t="s">
        <v>428</v>
      </c>
      <c r="F352" s="67" t="s">
        <v>24</v>
      </c>
      <c r="G352" s="69">
        <f>SUMPRODUCT(('⚙️Pengaturan'!$C$3:$C$100=$F352)*('⚙️Pengaturan'!$D$3:$D$100))</f>
        <v>250000</v>
      </c>
      <c r="H352" s="70" t="s">
        <v>28</v>
      </c>
      <c r="I352" s="69"/>
      <c r="J352" s="69">
        <f t="shared" si="1"/>
        <v>250000</v>
      </c>
      <c r="K352" s="71"/>
    </row>
    <row r="353" ht="17.25" customHeight="1">
      <c r="A353" s="61"/>
      <c r="B353" s="63" t="b">
        <v>0</v>
      </c>
      <c r="C353" s="64">
        <v>346.0</v>
      </c>
      <c r="D353" s="65">
        <v>45497.0</v>
      </c>
      <c r="E353" s="67" t="s">
        <v>419</v>
      </c>
      <c r="F353" s="67" t="s">
        <v>44</v>
      </c>
      <c r="G353" s="69">
        <f>SUMPRODUCT(('⚙️Pengaturan'!$C$3:$C$100=$F353)*('⚙️Pengaturan'!$D$3:$D$100))</f>
        <v>150000</v>
      </c>
      <c r="H353" s="70" t="s">
        <v>63</v>
      </c>
      <c r="I353" s="69"/>
      <c r="J353" s="69">
        <f t="shared" si="1"/>
        <v>150000</v>
      </c>
      <c r="K353" s="71"/>
    </row>
    <row r="354" ht="17.25" customHeight="1">
      <c r="A354" s="61"/>
      <c r="B354" s="63" t="b">
        <v>0</v>
      </c>
      <c r="C354" s="64">
        <v>347.0</v>
      </c>
      <c r="D354" s="65">
        <v>45497.0</v>
      </c>
      <c r="E354" s="67" t="s">
        <v>418</v>
      </c>
      <c r="F354" s="67" t="s">
        <v>44</v>
      </c>
      <c r="G354" s="69">
        <f>SUMPRODUCT(('⚙️Pengaturan'!$C$3:$C$100=$F354)*('⚙️Pengaturan'!$D$3:$D$100))</f>
        <v>150000</v>
      </c>
      <c r="H354" s="70" t="s">
        <v>28</v>
      </c>
      <c r="I354" s="69"/>
      <c r="J354" s="69">
        <f t="shared" si="1"/>
        <v>150000</v>
      </c>
      <c r="K354" s="71"/>
    </row>
    <row r="355" ht="17.25" customHeight="1">
      <c r="A355" s="61"/>
      <c r="B355" s="63" t="b">
        <v>0</v>
      </c>
      <c r="C355" s="64">
        <v>348.0</v>
      </c>
      <c r="D355" s="65">
        <v>45497.0</v>
      </c>
      <c r="E355" s="67" t="s">
        <v>424</v>
      </c>
      <c r="F355" s="67" t="s">
        <v>44</v>
      </c>
      <c r="G355" s="69">
        <f>SUMPRODUCT(('⚙️Pengaturan'!$C$3:$C$100=$F355)*('⚙️Pengaturan'!$D$3:$D$100))</f>
        <v>150000</v>
      </c>
      <c r="H355" s="70" t="s">
        <v>28</v>
      </c>
      <c r="I355" s="69"/>
      <c r="J355" s="69">
        <f t="shared" si="1"/>
        <v>150000</v>
      </c>
      <c r="K355" s="71"/>
    </row>
    <row r="356" ht="17.25" customHeight="1">
      <c r="A356" s="61"/>
      <c r="B356" s="63" t="b">
        <v>0</v>
      </c>
      <c r="C356" s="64">
        <v>349.0</v>
      </c>
      <c r="D356" s="65">
        <v>45497.0</v>
      </c>
      <c r="E356" s="67" t="s">
        <v>416</v>
      </c>
      <c r="F356" s="67" t="s">
        <v>53</v>
      </c>
      <c r="G356" s="69">
        <f>SUMPRODUCT(('⚙️Pengaturan'!$C$3:$C$100=$F356)*('⚙️Pengaturan'!$D$3:$D$100))</f>
        <v>650000</v>
      </c>
      <c r="H356" s="70" t="s">
        <v>63</v>
      </c>
      <c r="I356" s="69">
        <v>150000.0</v>
      </c>
      <c r="J356" s="69">
        <f t="shared" si="1"/>
        <v>500000</v>
      </c>
      <c r="K356" s="71"/>
    </row>
    <row r="357" ht="17.25" customHeight="1">
      <c r="A357" s="61"/>
      <c r="B357" s="63" t="b">
        <v>0</v>
      </c>
      <c r="C357" s="64">
        <v>350.0</v>
      </c>
      <c r="D357" s="65">
        <v>45497.0</v>
      </c>
      <c r="E357" s="67" t="s">
        <v>429</v>
      </c>
      <c r="F357" s="67" t="s">
        <v>24</v>
      </c>
      <c r="G357" s="69">
        <f>SUMPRODUCT(('⚙️Pengaturan'!$C$3:$C$100=$F357)*('⚙️Pengaturan'!$D$3:$D$100))</f>
        <v>250000</v>
      </c>
      <c r="H357" s="70" t="s">
        <v>63</v>
      </c>
      <c r="I357" s="69"/>
      <c r="J357" s="69">
        <f t="shared" si="1"/>
        <v>250000</v>
      </c>
      <c r="K357" s="71"/>
    </row>
    <row r="358" ht="17.25" customHeight="1">
      <c r="A358" s="61"/>
      <c r="B358" s="63" t="b">
        <v>0</v>
      </c>
      <c r="C358" s="64">
        <v>351.0</v>
      </c>
      <c r="D358" s="65">
        <v>45497.0</v>
      </c>
      <c r="E358" s="67" t="s">
        <v>430</v>
      </c>
      <c r="F358" s="67" t="s">
        <v>24</v>
      </c>
      <c r="G358" s="69">
        <f>SUMPRODUCT(('⚙️Pengaturan'!$C$3:$C$100=$F358)*('⚙️Pengaturan'!$D$3:$D$100))</f>
        <v>250000</v>
      </c>
      <c r="H358" s="70" t="s">
        <v>28</v>
      </c>
      <c r="I358" s="69"/>
      <c r="J358" s="69">
        <f t="shared" si="1"/>
        <v>250000</v>
      </c>
      <c r="K358" s="71"/>
    </row>
    <row r="359" ht="17.25" customHeight="1">
      <c r="A359" s="61"/>
      <c r="B359" s="63" t="b">
        <v>0</v>
      </c>
      <c r="C359" s="64">
        <v>352.0</v>
      </c>
      <c r="D359" s="65">
        <v>45498.0</v>
      </c>
      <c r="E359" s="67" t="s">
        <v>431</v>
      </c>
      <c r="F359" s="67" t="s">
        <v>24</v>
      </c>
      <c r="G359" s="69">
        <f>SUMPRODUCT(('⚙️Pengaturan'!$C$3:$C$100=$F359)*('⚙️Pengaturan'!$D$3:$D$100))</f>
        <v>250000</v>
      </c>
      <c r="H359" s="70" t="s">
        <v>28</v>
      </c>
      <c r="I359" s="69"/>
      <c r="J359" s="69">
        <f t="shared" si="1"/>
        <v>250000</v>
      </c>
      <c r="K359" s="71"/>
    </row>
    <row r="360" ht="17.25" customHeight="1">
      <c r="A360" s="61"/>
      <c r="B360" s="63" t="b">
        <v>0</v>
      </c>
      <c r="C360" s="64">
        <v>353.0</v>
      </c>
      <c r="D360" s="65">
        <v>45498.0</v>
      </c>
      <c r="E360" s="67" t="s">
        <v>432</v>
      </c>
      <c r="F360" s="67" t="s">
        <v>24</v>
      </c>
      <c r="G360" s="69">
        <f>SUMPRODUCT(('⚙️Pengaturan'!$C$3:$C$100=$F360)*('⚙️Pengaturan'!$D$3:$D$100))</f>
        <v>250000</v>
      </c>
      <c r="H360" s="70" t="s">
        <v>28</v>
      </c>
      <c r="I360" s="69"/>
      <c r="J360" s="69">
        <f t="shared" si="1"/>
        <v>250000</v>
      </c>
      <c r="K360" s="71"/>
    </row>
    <row r="361" ht="17.25" customHeight="1">
      <c r="A361" s="61"/>
      <c r="B361" s="63" t="b">
        <v>0</v>
      </c>
      <c r="C361" s="64">
        <v>354.0</v>
      </c>
      <c r="D361" s="65">
        <v>45498.0</v>
      </c>
      <c r="E361" s="67" t="s">
        <v>416</v>
      </c>
      <c r="F361" s="67" t="s">
        <v>53</v>
      </c>
      <c r="G361" s="69">
        <f>SUMPRODUCT(('⚙️Pengaturan'!$C$3:$C$100=$F361)*('⚙️Pengaturan'!$D$3:$D$100))</f>
        <v>650000</v>
      </c>
      <c r="H361" s="70" t="s">
        <v>63</v>
      </c>
      <c r="I361" s="69">
        <v>500000.0</v>
      </c>
      <c r="J361" s="69">
        <f t="shared" si="1"/>
        <v>150000</v>
      </c>
      <c r="K361" s="71"/>
    </row>
    <row r="362" ht="17.25" customHeight="1">
      <c r="A362" s="61"/>
      <c r="B362" s="63" t="b">
        <v>0</v>
      </c>
      <c r="C362" s="64">
        <v>355.0</v>
      </c>
      <c r="D362" s="65">
        <v>45498.0</v>
      </c>
      <c r="E362" s="67" t="s">
        <v>407</v>
      </c>
      <c r="F362" s="67" t="s">
        <v>44</v>
      </c>
      <c r="G362" s="69">
        <f>SUMPRODUCT(('⚙️Pengaturan'!$C$3:$C$100=$F362)*('⚙️Pengaturan'!$D$3:$D$100))</f>
        <v>150000</v>
      </c>
      <c r="H362" s="70" t="s">
        <v>28</v>
      </c>
      <c r="I362" s="69"/>
      <c r="J362" s="69">
        <f t="shared" si="1"/>
        <v>150000</v>
      </c>
      <c r="K362" s="71"/>
    </row>
    <row r="363" ht="17.25" customHeight="1">
      <c r="A363" s="61"/>
      <c r="B363" s="63" t="b">
        <v>0</v>
      </c>
      <c r="C363" s="64">
        <v>356.0</v>
      </c>
      <c r="D363" s="65">
        <v>45498.0</v>
      </c>
      <c r="E363" s="67" t="s">
        <v>390</v>
      </c>
      <c r="F363" s="67" t="s">
        <v>44</v>
      </c>
      <c r="G363" s="69">
        <f>SUMPRODUCT(('⚙️Pengaturan'!$C$3:$C$100=$F363)*('⚙️Pengaturan'!$D$3:$D$100))</f>
        <v>150000</v>
      </c>
      <c r="H363" s="70" t="s">
        <v>28</v>
      </c>
      <c r="I363" s="69"/>
      <c r="J363" s="69">
        <f t="shared" si="1"/>
        <v>150000</v>
      </c>
      <c r="K363" s="71"/>
    </row>
    <row r="364" ht="17.25" customHeight="1">
      <c r="A364" s="61"/>
      <c r="B364" s="63" t="b">
        <v>0</v>
      </c>
      <c r="C364" s="64">
        <v>357.0</v>
      </c>
      <c r="D364" s="65">
        <v>45498.0</v>
      </c>
      <c r="E364" s="67" t="s">
        <v>433</v>
      </c>
      <c r="F364" s="67" t="s">
        <v>24</v>
      </c>
      <c r="G364" s="69">
        <f>SUMPRODUCT(('⚙️Pengaturan'!$C$3:$C$100=$F364)*('⚙️Pengaturan'!$D$3:$D$100))</f>
        <v>250000</v>
      </c>
      <c r="H364" s="70" t="s">
        <v>28</v>
      </c>
      <c r="I364" s="69"/>
      <c r="J364" s="69">
        <f t="shared" si="1"/>
        <v>250000</v>
      </c>
      <c r="K364" s="71"/>
    </row>
    <row r="365" ht="17.25" customHeight="1">
      <c r="A365" s="61"/>
      <c r="B365" s="63" t="b">
        <v>0</v>
      </c>
      <c r="C365" s="64">
        <v>358.0</v>
      </c>
      <c r="D365" s="65">
        <v>45500.0</v>
      </c>
      <c r="E365" s="67" t="s">
        <v>167</v>
      </c>
      <c r="F365" s="67" t="s">
        <v>334</v>
      </c>
      <c r="G365" s="69">
        <f>SUMPRODUCT(('⚙️Pengaturan'!$C$3:$C$100=$F365)*('⚙️Pengaturan'!$D$3:$D$100))</f>
        <v>175000</v>
      </c>
      <c r="H365" s="70" t="s">
        <v>28</v>
      </c>
      <c r="I365" s="69"/>
      <c r="J365" s="69">
        <f t="shared" si="1"/>
        <v>175000</v>
      </c>
      <c r="K365" s="71"/>
    </row>
    <row r="366" ht="17.25" customHeight="1">
      <c r="A366" s="61"/>
      <c r="B366" s="63" t="b">
        <v>0</v>
      </c>
      <c r="C366" s="64">
        <v>359.0</v>
      </c>
      <c r="D366" s="65">
        <v>45500.0</v>
      </c>
      <c r="E366" s="67" t="s">
        <v>434</v>
      </c>
      <c r="F366" s="67" t="s">
        <v>334</v>
      </c>
      <c r="G366" s="69">
        <f>SUMPRODUCT(('⚙️Pengaturan'!$C$3:$C$100=$F366)*('⚙️Pengaturan'!$D$3:$D$100))</f>
        <v>175000</v>
      </c>
      <c r="H366" s="70" t="s">
        <v>28</v>
      </c>
      <c r="I366" s="69">
        <v>35000.0</v>
      </c>
      <c r="J366" s="69">
        <f t="shared" si="1"/>
        <v>140000</v>
      </c>
      <c r="K366" s="71"/>
    </row>
    <row r="367" ht="17.25" customHeight="1">
      <c r="A367" s="61"/>
      <c r="B367" s="63" t="b">
        <v>0</v>
      </c>
      <c r="C367" s="64">
        <v>360.0</v>
      </c>
      <c r="D367" s="65">
        <v>45500.0</v>
      </c>
      <c r="E367" s="67" t="s">
        <v>435</v>
      </c>
      <c r="F367" s="67" t="s">
        <v>334</v>
      </c>
      <c r="G367" s="69">
        <f>SUMPRODUCT(('⚙️Pengaturan'!$C$3:$C$100=$F367)*('⚙️Pengaturan'!$D$3:$D$100))</f>
        <v>175000</v>
      </c>
      <c r="H367" s="70" t="s">
        <v>63</v>
      </c>
      <c r="I367" s="69">
        <v>35000.0</v>
      </c>
      <c r="J367" s="69">
        <f t="shared" si="1"/>
        <v>140000</v>
      </c>
      <c r="K367" s="71"/>
    </row>
    <row r="368" ht="17.25" customHeight="1">
      <c r="A368" s="61"/>
      <c r="B368" s="63" t="b">
        <v>0</v>
      </c>
      <c r="C368" s="64">
        <v>361.0</v>
      </c>
      <c r="D368" s="65">
        <v>45500.0</v>
      </c>
      <c r="E368" s="67" t="s">
        <v>436</v>
      </c>
      <c r="F368" s="67" t="s">
        <v>334</v>
      </c>
      <c r="G368" s="69">
        <f>SUMPRODUCT(('⚙️Pengaturan'!$C$3:$C$100=$F368)*('⚙️Pengaturan'!$D$3:$D$100))</f>
        <v>175000</v>
      </c>
      <c r="H368" s="70" t="s">
        <v>28</v>
      </c>
      <c r="I368" s="69">
        <v>35000.0</v>
      </c>
      <c r="J368" s="69">
        <f t="shared" si="1"/>
        <v>140000</v>
      </c>
      <c r="K368" s="71"/>
    </row>
    <row r="369" ht="17.25" customHeight="1">
      <c r="A369" s="61"/>
      <c r="B369" s="63" t="b">
        <v>0</v>
      </c>
      <c r="C369" s="64">
        <v>362.0</v>
      </c>
      <c r="D369" s="65">
        <v>45500.0</v>
      </c>
      <c r="E369" s="67" t="s">
        <v>436</v>
      </c>
      <c r="F369" s="67" t="s">
        <v>329</v>
      </c>
      <c r="G369" s="69">
        <f>SUMPRODUCT(('⚙️Pengaturan'!$C$3:$C$100=$F369)*('⚙️Pengaturan'!$D$3:$D$100))</f>
        <v>750000</v>
      </c>
      <c r="H369" s="70" t="s">
        <v>63</v>
      </c>
      <c r="I369" s="69">
        <v>375000.0</v>
      </c>
      <c r="J369" s="69">
        <f t="shared" si="1"/>
        <v>375000</v>
      </c>
      <c r="K369" s="71"/>
    </row>
    <row r="370" ht="17.25" customHeight="1">
      <c r="A370" s="61"/>
      <c r="B370" s="63" t="b">
        <v>0</v>
      </c>
      <c r="C370" s="64">
        <v>363.0</v>
      </c>
      <c r="D370" s="65">
        <v>45500.0</v>
      </c>
      <c r="E370" s="67" t="s">
        <v>437</v>
      </c>
      <c r="F370" s="67" t="s">
        <v>334</v>
      </c>
      <c r="G370" s="69">
        <f>SUMPRODUCT(('⚙️Pengaturan'!$C$3:$C$100=$F370)*('⚙️Pengaturan'!$D$3:$D$100))</f>
        <v>175000</v>
      </c>
      <c r="H370" s="70" t="s">
        <v>28</v>
      </c>
      <c r="I370" s="69"/>
      <c r="J370" s="69">
        <f t="shared" si="1"/>
        <v>175000</v>
      </c>
      <c r="K370" s="71"/>
    </row>
    <row r="371" ht="17.25" customHeight="1">
      <c r="A371" s="61"/>
      <c r="B371" s="63" t="b">
        <v>0</v>
      </c>
      <c r="C371" s="64">
        <v>364.0</v>
      </c>
      <c r="D371" s="65">
        <v>45501.0</v>
      </c>
      <c r="E371" s="67" t="s">
        <v>438</v>
      </c>
      <c r="F371" s="67" t="s">
        <v>334</v>
      </c>
      <c r="G371" s="69">
        <f>SUMPRODUCT(('⚙️Pengaturan'!$C$3:$C$100=$F371)*('⚙️Pengaturan'!$D$3:$D$100))</f>
        <v>175000</v>
      </c>
      <c r="H371" s="70" t="s">
        <v>28</v>
      </c>
      <c r="I371" s="69"/>
      <c r="J371" s="69">
        <f t="shared" si="1"/>
        <v>175000</v>
      </c>
      <c r="K371" s="71"/>
    </row>
    <row r="372" ht="17.25" customHeight="1">
      <c r="A372" s="61"/>
      <c r="B372" s="63" t="b">
        <v>0</v>
      </c>
      <c r="C372" s="64">
        <v>365.0</v>
      </c>
      <c r="D372" s="65">
        <v>45501.0</v>
      </c>
      <c r="E372" s="67" t="s">
        <v>439</v>
      </c>
      <c r="F372" s="67" t="s">
        <v>334</v>
      </c>
      <c r="G372" s="69">
        <f>SUMPRODUCT(('⚙️Pengaturan'!$C$3:$C$100=$F372)*('⚙️Pengaturan'!$D$3:$D$100))</f>
        <v>175000</v>
      </c>
      <c r="H372" s="70" t="s">
        <v>28</v>
      </c>
      <c r="I372" s="69">
        <v>35000.0</v>
      </c>
      <c r="J372" s="69">
        <f t="shared" si="1"/>
        <v>140000</v>
      </c>
      <c r="K372" s="71"/>
    </row>
    <row r="373" ht="17.25" customHeight="1">
      <c r="A373" s="61"/>
      <c r="B373" s="63" t="b">
        <v>0</v>
      </c>
      <c r="C373" s="64">
        <v>366.0</v>
      </c>
      <c r="D373" s="65">
        <v>45501.0</v>
      </c>
      <c r="E373" s="67" t="s">
        <v>433</v>
      </c>
      <c r="F373" s="67" t="s">
        <v>53</v>
      </c>
      <c r="G373" s="69">
        <f>SUMPRODUCT(('⚙️Pengaturan'!$C$3:$C$100=$F373)*('⚙️Pengaturan'!$D$3:$D$100))</f>
        <v>650000</v>
      </c>
      <c r="H373" s="70" t="s">
        <v>63</v>
      </c>
      <c r="I373" s="69"/>
      <c r="J373" s="69">
        <f t="shared" si="1"/>
        <v>650000</v>
      </c>
      <c r="K373" s="71"/>
    </row>
    <row r="374" ht="17.25" customHeight="1">
      <c r="A374" s="61"/>
      <c r="B374" s="63" t="b">
        <v>0</v>
      </c>
      <c r="C374" s="64">
        <v>367.0</v>
      </c>
      <c r="D374" s="65">
        <v>45502.0</v>
      </c>
      <c r="E374" s="67" t="s">
        <v>436</v>
      </c>
      <c r="F374" s="67" t="s">
        <v>329</v>
      </c>
      <c r="G374" s="69">
        <f>SUMPRODUCT(('⚙️Pengaturan'!$C$3:$C$100=$F374)*('⚙️Pengaturan'!$D$3:$D$100))</f>
        <v>750000</v>
      </c>
      <c r="H374" s="70" t="s">
        <v>63</v>
      </c>
      <c r="I374" s="69">
        <v>375000.0</v>
      </c>
      <c r="J374" s="69">
        <f t="shared" si="1"/>
        <v>375000</v>
      </c>
      <c r="K374" s="71"/>
    </row>
    <row r="375" ht="17.25" customHeight="1">
      <c r="A375" s="61"/>
      <c r="B375" s="63" t="b">
        <v>0</v>
      </c>
      <c r="C375" s="64">
        <v>368.0</v>
      </c>
      <c r="D375" s="65">
        <v>45502.0</v>
      </c>
      <c r="E375" s="67" t="s">
        <v>440</v>
      </c>
      <c r="F375" s="67" t="s">
        <v>334</v>
      </c>
      <c r="G375" s="69">
        <f>SUMPRODUCT(('⚙️Pengaturan'!$C$3:$C$100=$F375)*('⚙️Pengaturan'!$D$3:$D$100))</f>
        <v>175000</v>
      </c>
      <c r="H375" s="70" t="s">
        <v>63</v>
      </c>
      <c r="I375" s="69">
        <v>35000.0</v>
      </c>
      <c r="J375" s="69">
        <f t="shared" si="1"/>
        <v>140000</v>
      </c>
      <c r="K375" s="71"/>
    </row>
    <row r="376" ht="17.25" customHeight="1">
      <c r="A376" s="61"/>
      <c r="B376" s="63" t="b">
        <v>0</v>
      </c>
      <c r="C376" s="64">
        <v>369.0</v>
      </c>
      <c r="D376" s="65">
        <v>45502.0</v>
      </c>
      <c r="E376" s="67" t="s">
        <v>441</v>
      </c>
      <c r="F376" s="67" t="s">
        <v>334</v>
      </c>
      <c r="G376" s="69">
        <f>SUMPRODUCT(('⚙️Pengaturan'!$C$3:$C$100=$F376)*('⚙️Pengaturan'!$D$3:$D$100))</f>
        <v>175000</v>
      </c>
      <c r="H376" s="70" t="s">
        <v>63</v>
      </c>
      <c r="I376" s="69">
        <v>35000.0</v>
      </c>
      <c r="J376" s="69">
        <f t="shared" si="1"/>
        <v>140000</v>
      </c>
      <c r="K376" s="71"/>
    </row>
    <row r="377" ht="17.25" customHeight="1">
      <c r="A377" s="61"/>
      <c r="B377" s="63" t="b">
        <v>0</v>
      </c>
      <c r="C377" s="64">
        <v>370.0</v>
      </c>
      <c r="D377" s="65">
        <v>45502.0</v>
      </c>
      <c r="E377" s="67" t="s">
        <v>425</v>
      </c>
      <c r="F377" s="67" t="s">
        <v>53</v>
      </c>
      <c r="G377" s="69">
        <f>SUMPRODUCT(('⚙️Pengaturan'!$C$3:$C$100=$F377)*('⚙️Pengaturan'!$D$3:$D$100))</f>
        <v>650000</v>
      </c>
      <c r="H377" s="70" t="s">
        <v>28</v>
      </c>
      <c r="I377" s="69">
        <v>300000.0</v>
      </c>
      <c r="J377" s="69">
        <f t="shared" si="1"/>
        <v>350000</v>
      </c>
      <c r="K377" s="71"/>
    </row>
    <row r="378" ht="17.25" customHeight="1">
      <c r="A378" s="61"/>
      <c r="B378" s="63" t="b">
        <v>0</v>
      </c>
      <c r="C378" s="64">
        <v>371.0</v>
      </c>
      <c r="D378" s="65">
        <v>45502.0</v>
      </c>
      <c r="E378" s="67" t="s">
        <v>435</v>
      </c>
      <c r="F378" s="67" t="s">
        <v>329</v>
      </c>
      <c r="G378" s="69">
        <f>SUMPRODUCT(('⚙️Pengaturan'!$C$3:$C$100=$F378)*('⚙️Pengaturan'!$D$3:$D$100))</f>
        <v>750000</v>
      </c>
      <c r="H378" s="70" t="s">
        <v>63</v>
      </c>
      <c r="I378" s="69">
        <v>450000.0</v>
      </c>
      <c r="J378" s="69">
        <f t="shared" si="1"/>
        <v>300000</v>
      </c>
      <c r="K378" s="71"/>
    </row>
    <row r="379" ht="17.25" customHeight="1">
      <c r="A379" s="61"/>
      <c r="B379" s="63" t="b">
        <v>0</v>
      </c>
      <c r="C379" s="64">
        <v>372.0</v>
      </c>
      <c r="D379" s="65">
        <v>45502.0</v>
      </c>
      <c r="E379" s="67" t="s">
        <v>442</v>
      </c>
      <c r="F379" s="67" t="s">
        <v>334</v>
      </c>
      <c r="G379" s="69">
        <f>SUMPRODUCT(('⚙️Pengaturan'!$C$3:$C$100=$F379)*('⚙️Pengaturan'!$D$3:$D$100))</f>
        <v>175000</v>
      </c>
      <c r="H379" s="70" t="s">
        <v>28</v>
      </c>
      <c r="I379" s="69"/>
      <c r="J379" s="69">
        <f t="shared" si="1"/>
        <v>175000</v>
      </c>
      <c r="K379" s="71"/>
    </row>
    <row r="380" ht="17.25" customHeight="1">
      <c r="A380" s="61"/>
      <c r="B380" s="63" t="b">
        <v>0</v>
      </c>
      <c r="C380" s="64">
        <v>373.0</v>
      </c>
      <c r="D380" s="65">
        <v>45502.0</v>
      </c>
      <c r="E380" s="67" t="s">
        <v>264</v>
      </c>
      <c r="F380" s="67" t="s">
        <v>53</v>
      </c>
      <c r="G380" s="69">
        <f>SUMPRODUCT(('⚙️Pengaturan'!$C$3:$C$100=$F380)*('⚙️Pengaturan'!$D$3:$D$100))</f>
        <v>650000</v>
      </c>
      <c r="H380" s="70" t="s">
        <v>63</v>
      </c>
      <c r="I380" s="69">
        <v>350000.0</v>
      </c>
      <c r="J380" s="69">
        <f t="shared" si="1"/>
        <v>300000</v>
      </c>
      <c r="K380" s="71"/>
    </row>
    <row r="381" ht="17.25" customHeight="1">
      <c r="A381" s="61"/>
      <c r="B381" s="63" t="b">
        <v>0</v>
      </c>
      <c r="C381" s="64">
        <v>374.0</v>
      </c>
      <c r="D381" s="65">
        <v>45502.0</v>
      </c>
      <c r="E381" s="67" t="s">
        <v>390</v>
      </c>
      <c r="F381" s="67" t="s">
        <v>44</v>
      </c>
      <c r="G381" s="69">
        <f>SUMPRODUCT(('⚙️Pengaturan'!$C$3:$C$100=$F381)*('⚙️Pengaturan'!$D$3:$D$100))</f>
        <v>150000</v>
      </c>
      <c r="H381" s="70" t="s">
        <v>63</v>
      </c>
      <c r="I381" s="69"/>
      <c r="J381" s="69">
        <f t="shared" si="1"/>
        <v>150000</v>
      </c>
      <c r="K381" s="71"/>
    </row>
    <row r="382" ht="17.25" customHeight="1">
      <c r="A382" s="61"/>
      <c r="B382" s="63" t="b">
        <v>0</v>
      </c>
      <c r="C382" s="64">
        <v>375.0</v>
      </c>
      <c r="D382" s="65">
        <v>45503.0</v>
      </c>
      <c r="E382" s="67" t="s">
        <v>443</v>
      </c>
      <c r="F382" s="67" t="s">
        <v>334</v>
      </c>
      <c r="G382" s="69">
        <f>SUMPRODUCT(('⚙️Pengaturan'!$C$3:$C$100=$F382)*('⚙️Pengaturan'!$D$3:$D$100))</f>
        <v>175000</v>
      </c>
      <c r="H382" s="70" t="s">
        <v>28</v>
      </c>
      <c r="I382" s="69">
        <v>35000.0</v>
      </c>
      <c r="J382" s="69">
        <f t="shared" si="1"/>
        <v>140000</v>
      </c>
      <c r="K382" s="71"/>
    </row>
    <row r="383" ht="17.25" customHeight="1">
      <c r="A383" s="61"/>
      <c r="B383" s="63" t="b">
        <v>0</v>
      </c>
      <c r="C383" s="64">
        <v>376.0</v>
      </c>
      <c r="D383" s="65">
        <v>45503.0</v>
      </c>
      <c r="E383" s="67" t="s">
        <v>443</v>
      </c>
      <c r="F383" s="67" t="s">
        <v>332</v>
      </c>
      <c r="G383" s="69">
        <f>SUMPRODUCT(('⚙️Pengaturan'!$C$3:$C$100=$F383)*('⚙️Pengaturan'!$D$3:$D$100))</f>
        <v>1300000</v>
      </c>
      <c r="H383" s="70" t="s">
        <v>63</v>
      </c>
      <c r="I383" s="69">
        <v>1000000.0</v>
      </c>
      <c r="J383" s="69">
        <f t="shared" si="1"/>
        <v>300000</v>
      </c>
      <c r="K383" s="71"/>
    </row>
    <row r="384" ht="17.25" customHeight="1">
      <c r="A384" s="61"/>
      <c r="B384" s="63" t="b">
        <v>0</v>
      </c>
      <c r="C384" s="64">
        <v>377.0</v>
      </c>
      <c r="D384" s="65">
        <v>45503.0</v>
      </c>
      <c r="E384" s="67" t="s">
        <v>431</v>
      </c>
      <c r="F384" s="67" t="s">
        <v>53</v>
      </c>
      <c r="G384" s="69">
        <f>SUMPRODUCT(('⚙️Pengaturan'!$C$3:$C$100=$F384)*('⚙️Pengaturan'!$D$3:$D$100))</f>
        <v>650000</v>
      </c>
      <c r="H384" s="70" t="s">
        <v>28</v>
      </c>
      <c r="I384" s="69">
        <v>300000.0</v>
      </c>
      <c r="J384" s="69">
        <f t="shared" si="1"/>
        <v>350000</v>
      </c>
      <c r="K384" s="71"/>
    </row>
    <row r="385" ht="17.25" customHeight="1">
      <c r="A385" s="61"/>
      <c r="B385" s="63" t="b">
        <v>0</v>
      </c>
      <c r="C385" s="64">
        <v>378.0</v>
      </c>
      <c r="D385" s="65">
        <v>45503.0</v>
      </c>
      <c r="E385" s="67" t="s">
        <v>444</v>
      </c>
      <c r="F385" s="67" t="s">
        <v>334</v>
      </c>
      <c r="G385" s="69">
        <f>SUMPRODUCT(('⚙️Pengaturan'!$C$3:$C$100=$F385)*('⚙️Pengaturan'!$D$3:$D$100))</f>
        <v>175000</v>
      </c>
      <c r="H385" s="70" t="s">
        <v>28</v>
      </c>
      <c r="I385" s="69">
        <v>35000.0</v>
      </c>
      <c r="J385" s="69">
        <f t="shared" si="1"/>
        <v>140000</v>
      </c>
      <c r="K385" s="71"/>
    </row>
    <row r="386" ht="17.25" customHeight="1">
      <c r="A386" s="61"/>
      <c r="B386" s="63" t="b">
        <v>0</v>
      </c>
      <c r="C386" s="64">
        <v>379.0</v>
      </c>
      <c r="D386" s="65">
        <v>45503.0</v>
      </c>
      <c r="E386" s="67" t="s">
        <v>445</v>
      </c>
      <c r="F386" s="67" t="s">
        <v>334</v>
      </c>
      <c r="G386" s="69">
        <f>SUMPRODUCT(('⚙️Pengaturan'!$C$3:$C$100=$F386)*('⚙️Pengaturan'!$D$3:$D$100))</f>
        <v>175000</v>
      </c>
      <c r="H386" s="70" t="s">
        <v>63</v>
      </c>
      <c r="I386" s="69"/>
      <c r="J386" s="69">
        <f t="shared" si="1"/>
        <v>175000</v>
      </c>
      <c r="K386" s="71"/>
    </row>
    <row r="387" ht="17.25" customHeight="1">
      <c r="A387" s="61"/>
      <c r="B387" s="63" t="b">
        <v>0</v>
      </c>
      <c r="C387" s="64">
        <v>380.0</v>
      </c>
      <c r="D387" s="65">
        <v>45503.0</v>
      </c>
      <c r="E387" s="67" t="s">
        <v>446</v>
      </c>
      <c r="F387" s="67" t="s">
        <v>334</v>
      </c>
      <c r="G387" s="69">
        <f>SUMPRODUCT(('⚙️Pengaturan'!$C$3:$C$100=$F387)*('⚙️Pengaturan'!$D$3:$D$100))</f>
        <v>175000</v>
      </c>
      <c r="H387" s="70" t="s">
        <v>28</v>
      </c>
      <c r="I387" s="69"/>
      <c r="J387" s="69">
        <f t="shared" si="1"/>
        <v>175000</v>
      </c>
      <c r="K387" s="71"/>
    </row>
    <row r="388" ht="17.25" customHeight="1">
      <c r="A388" s="61"/>
      <c r="B388" s="63" t="b">
        <v>0</v>
      </c>
      <c r="C388" s="64">
        <v>381.0</v>
      </c>
      <c r="D388" s="65">
        <v>45504.0</v>
      </c>
      <c r="E388" s="67" t="s">
        <v>447</v>
      </c>
      <c r="F388" s="67" t="s">
        <v>334</v>
      </c>
      <c r="G388" s="69">
        <f>SUMPRODUCT(('⚙️Pengaturan'!$C$3:$C$100=$F388)*('⚙️Pengaturan'!$D$3:$D$100))</f>
        <v>175000</v>
      </c>
      <c r="H388" s="70" t="s">
        <v>63</v>
      </c>
      <c r="I388" s="69">
        <v>35000.0</v>
      </c>
      <c r="J388" s="69">
        <f t="shared" si="1"/>
        <v>140000</v>
      </c>
      <c r="K388" s="71"/>
    </row>
    <row r="389" ht="17.25" customHeight="1">
      <c r="A389" s="61"/>
      <c r="B389" s="63" t="b">
        <v>0</v>
      </c>
      <c r="C389" s="64">
        <v>382.0</v>
      </c>
      <c r="D389" s="65">
        <v>45504.0</v>
      </c>
      <c r="E389" s="67" t="s">
        <v>448</v>
      </c>
      <c r="F389" s="67" t="s">
        <v>329</v>
      </c>
      <c r="G389" s="69">
        <f>SUMPRODUCT(('⚙️Pengaturan'!$C$3:$C$100=$F389)*('⚙️Pengaturan'!$D$3:$D$100))</f>
        <v>750000</v>
      </c>
      <c r="H389" s="70" t="s">
        <v>28</v>
      </c>
      <c r="I389" s="69">
        <v>450000.0</v>
      </c>
      <c r="J389" s="69">
        <f t="shared" si="1"/>
        <v>300000</v>
      </c>
      <c r="K389" s="71"/>
    </row>
    <row r="390" ht="17.25" customHeight="1">
      <c r="A390" s="61"/>
      <c r="B390" s="63" t="b">
        <v>0</v>
      </c>
      <c r="C390" s="64">
        <v>383.0</v>
      </c>
      <c r="D390" s="65">
        <v>45504.0</v>
      </c>
      <c r="E390" s="67" t="s">
        <v>449</v>
      </c>
      <c r="F390" s="67" t="s">
        <v>334</v>
      </c>
      <c r="G390" s="69">
        <f>SUMPRODUCT(('⚙️Pengaturan'!$C$3:$C$100=$F390)*('⚙️Pengaturan'!$D$3:$D$100))</f>
        <v>175000</v>
      </c>
      <c r="H390" s="70" t="s">
        <v>28</v>
      </c>
      <c r="I390" s="69">
        <v>35000.0</v>
      </c>
      <c r="J390" s="69">
        <f t="shared" si="1"/>
        <v>140000</v>
      </c>
      <c r="K390" s="71"/>
    </row>
    <row r="391" ht="17.25" customHeight="1">
      <c r="A391" s="61"/>
      <c r="B391" s="63" t="b">
        <v>0</v>
      </c>
      <c r="C391" s="64">
        <v>384.0</v>
      </c>
      <c r="D391" s="65">
        <v>45504.0</v>
      </c>
      <c r="E391" s="67" t="s">
        <v>450</v>
      </c>
      <c r="F391" s="67" t="s">
        <v>334</v>
      </c>
      <c r="G391" s="69">
        <f>SUMPRODUCT(('⚙️Pengaturan'!$C$3:$C$100=$F391)*('⚙️Pengaturan'!$D$3:$D$100))</f>
        <v>175000</v>
      </c>
      <c r="H391" s="70" t="s">
        <v>28</v>
      </c>
      <c r="I391" s="69">
        <v>35000.0</v>
      </c>
      <c r="J391" s="69">
        <f t="shared" si="1"/>
        <v>140000</v>
      </c>
      <c r="K391" s="71"/>
    </row>
    <row r="392" ht="17.25" customHeight="1">
      <c r="A392" s="61"/>
      <c r="B392" s="63" t="b">
        <v>0</v>
      </c>
      <c r="C392" s="64">
        <v>385.0</v>
      </c>
      <c r="D392" s="65">
        <v>45504.0</v>
      </c>
      <c r="E392" s="67" t="s">
        <v>435</v>
      </c>
      <c r="F392" s="67" t="s">
        <v>329</v>
      </c>
      <c r="G392" s="69">
        <f>SUMPRODUCT(('⚙️Pengaturan'!$C$3:$C$100=$F392)*('⚙️Pengaturan'!$D$3:$D$100))</f>
        <v>750000</v>
      </c>
      <c r="H392" s="70" t="s">
        <v>63</v>
      </c>
      <c r="I392" s="69">
        <v>300000.0</v>
      </c>
      <c r="J392" s="69">
        <f t="shared" si="1"/>
        <v>450000</v>
      </c>
      <c r="K392" s="71"/>
    </row>
    <row r="393" ht="17.25" customHeight="1">
      <c r="A393" s="61"/>
      <c r="B393" s="63" t="b">
        <v>0</v>
      </c>
      <c r="C393" s="64">
        <v>386.0</v>
      </c>
      <c r="D393" s="65">
        <v>45504.0</v>
      </c>
      <c r="E393" s="67" t="s">
        <v>451</v>
      </c>
      <c r="F393" s="67" t="s">
        <v>334</v>
      </c>
      <c r="G393" s="69">
        <f>SUMPRODUCT(('⚙️Pengaturan'!$C$3:$C$100=$F393)*('⚙️Pengaturan'!$D$3:$D$100))</f>
        <v>175000</v>
      </c>
      <c r="H393" s="70" t="s">
        <v>63</v>
      </c>
      <c r="I393" s="69"/>
      <c r="J393" s="69">
        <f t="shared" si="1"/>
        <v>175000</v>
      </c>
      <c r="K393" s="71"/>
    </row>
    <row r="394" ht="17.25" customHeight="1">
      <c r="A394" s="61"/>
      <c r="B394" s="63" t="b">
        <v>0</v>
      </c>
      <c r="C394" s="64">
        <v>387.0</v>
      </c>
      <c r="D394" s="65">
        <v>45504.0</v>
      </c>
      <c r="E394" s="67" t="s">
        <v>451</v>
      </c>
      <c r="F394" s="67" t="s">
        <v>329</v>
      </c>
      <c r="G394" s="69">
        <f>SUMPRODUCT(('⚙️Pengaturan'!$C$3:$C$100=$F394)*('⚙️Pengaturan'!$D$3:$D$100))</f>
        <v>750000</v>
      </c>
      <c r="H394" s="70" t="s">
        <v>63</v>
      </c>
      <c r="I394" s="69"/>
      <c r="J394" s="69">
        <f t="shared" si="1"/>
        <v>750000</v>
      </c>
      <c r="K394" s="71"/>
    </row>
    <row r="395" ht="17.25" customHeight="1">
      <c r="A395" s="61"/>
      <c r="B395" s="63" t="b">
        <v>0</v>
      </c>
      <c r="C395" s="64">
        <v>388.0</v>
      </c>
      <c r="D395" s="65">
        <v>45504.0</v>
      </c>
      <c r="E395" s="67" t="s">
        <v>452</v>
      </c>
      <c r="F395" s="67" t="s">
        <v>53</v>
      </c>
      <c r="G395" s="69">
        <f>SUMPRODUCT(('⚙️Pengaturan'!$C$3:$C$100=$F395)*('⚙️Pengaturan'!$D$3:$D$100))</f>
        <v>650000</v>
      </c>
      <c r="H395" s="70" t="s">
        <v>28</v>
      </c>
      <c r="I395" s="69">
        <v>300000.0</v>
      </c>
      <c r="J395" s="69">
        <f t="shared" si="1"/>
        <v>350000</v>
      </c>
      <c r="K395" s="71"/>
    </row>
    <row r="396" ht="17.25" customHeight="1">
      <c r="A396" s="61"/>
      <c r="B396" s="63" t="b">
        <v>0</v>
      </c>
      <c r="C396" s="64">
        <v>389.0</v>
      </c>
      <c r="D396" s="65">
        <v>45504.0</v>
      </c>
      <c r="E396" s="67" t="s">
        <v>430</v>
      </c>
      <c r="F396" s="67" t="s">
        <v>53</v>
      </c>
      <c r="G396" s="69">
        <f>SUMPRODUCT(('⚙️Pengaturan'!$C$3:$C$100=$F396)*('⚙️Pengaturan'!$D$3:$D$100))</f>
        <v>650000</v>
      </c>
      <c r="H396" s="70" t="s">
        <v>28</v>
      </c>
      <c r="I396" s="69"/>
      <c r="J396" s="69">
        <f t="shared" si="1"/>
        <v>650000</v>
      </c>
      <c r="K396" s="71"/>
    </row>
    <row r="397" ht="17.25" customHeight="1">
      <c r="A397" s="61"/>
      <c r="B397" s="63" t="b">
        <v>0</v>
      </c>
      <c r="C397" s="64">
        <v>390.0</v>
      </c>
      <c r="D397" s="65">
        <v>45504.0</v>
      </c>
      <c r="E397" s="67" t="s">
        <v>453</v>
      </c>
      <c r="F397" s="67" t="s">
        <v>334</v>
      </c>
      <c r="G397" s="69">
        <f>SUMPRODUCT(('⚙️Pengaturan'!$C$3:$C$100=$F397)*('⚙️Pengaturan'!$D$3:$D$100))</f>
        <v>175000</v>
      </c>
      <c r="H397" s="70" t="s">
        <v>28</v>
      </c>
      <c r="I397" s="69"/>
      <c r="J397" s="69">
        <f t="shared" si="1"/>
        <v>175000</v>
      </c>
      <c r="K397" s="71"/>
    </row>
    <row r="398" ht="17.25" customHeight="1">
      <c r="A398" s="197"/>
      <c r="B398" s="198" t="b">
        <v>0</v>
      </c>
      <c r="C398" s="199">
        <v>391.0</v>
      </c>
      <c r="D398" s="200">
        <v>45505.0</v>
      </c>
      <c r="E398" s="201" t="s">
        <v>454</v>
      </c>
      <c r="F398" s="201" t="s">
        <v>336</v>
      </c>
      <c r="G398" s="202">
        <f>SUMPRODUCT(('⚙️Pengaturan'!$C$3:$C$100=$F398)*('⚙️Pengaturan'!$D$3:$D$100))</f>
        <v>225000</v>
      </c>
      <c r="H398" s="203" t="s">
        <v>28</v>
      </c>
      <c r="I398" s="202"/>
      <c r="J398" s="202">
        <f t="shared" si="1"/>
        <v>225000</v>
      </c>
      <c r="K398" s="204"/>
    </row>
    <row r="399" ht="17.25" customHeight="1">
      <c r="A399" s="61"/>
      <c r="B399" s="63" t="b">
        <v>0</v>
      </c>
      <c r="C399" s="64">
        <v>392.0</v>
      </c>
      <c r="D399" s="65">
        <v>45505.0</v>
      </c>
      <c r="E399" s="67" t="s">
        <v>455</v>
      </c>
      <c r="F399" s="67" t="s">
        <v>334</v>
      </c>
      <c r="G399" s="69">
        <f>SUMPRODUCT(('⚙️Pengaturan'!$C$3:$C$100=$F399)*('⚙️Pengaturan'!$D$3:$D$100))</f>
        <v>175000</v>
      </c>
      <c r="H399" s="70" t="s">
        <v>28</v>
      </c>
      <c r="I399" s="69">
        <v>35000.0</v>
      </c>
      <c r="J399" s="69">
        <f t="shared" si="1"/>
        <v>140000</v>
      </c>
      <c r="K399" s="71"/>
    </row>
    <row r="400" ht="17.25" customHeight="1">
      <c r="A400" s="61"/>
      <c r="B400" s="63" t="b">
        <v>0</v>
      </c>
      <c r="C400" s="64">
        <v>393.0</v>
      </c>
      <c r="D400" s="65">
        <v>45505.0</v>
      </c>
      <c r="E400" s="67" t="s">
        <v>456</v>
      </c>
      <c r="F400" s="67" t="s">
        <v>334</v>
      </c>
      <c r="G400" s="69">
        <f>SUMPRODUCT(('⚙️Pengaturan'!$C$3:$C$100=$F400)*('⚙️Pengaturan'!$D$3:$D$100))</f>
        <v>175000</v>
      </c>
      <c r="H400" s="70" t="s">
        <v>28</v>
      </c>
      <c r="I400" s="69">
        <v>35000.0</v>
      </c>
      <c r="J400" s="69">
        <f t="shared" si="1"/>
        <v>140000</v>
      </c>
      <c r="K400" s="71"/>
    </row>
    <row r="401" ht="17.25" customHeight="1">
      <c r="A401" s="61"/>
      <c r="B401" s="63" t="b">
        <v>0</v>
      </c>
      <c r="C401" s="64">
        <v>394.0</v>
      </c>
      <c r="D401" s="65">
        <v>45505.0</v>
      </c>
      <c r="E401" s="67" t="s">
        <v>418</v>
      </c>
      <c r="F401" s="67" t="s">
        <v>44</v>
      </c>
      <c r="G401" s="69">
        <f>SUMPRODUCT(('⚙️Pengaturan'!$C$3:$C$100=$F401)*('⚙️Pengaturan'!$D$3:$D$100))</f>
        <v>150000</v>
      </c>
      <c r="H401" s="70" t="s">
        <v>28</v>
      </c>
      <c r="I401" s="69"/>
      <c r="J401" s="69">
        <f t="shared" si="1"/>
        <v>150000</v>
      </c>
      <c r="K401" s="71"/>
    </row>
    <row r="402" ht="17.25" customHeight="1">
      <c r="A402" s="61"/>
      <c r="B402" s="63" t="b">
        <v>0</v>
      </c>
      <c r="C402" s="64">
        <v>395.0</v>
      </c>
      <c r="D402" s="65">
        <v>45505.0</v>
      </c>
      <c r="E402" s="67" t="s">
        <v>419</v>
      </c>
      <c r="F402" s="67" t="s">
        <v>53</v>
      </c>
      <c r="G402" s="69">
        <f>SUMPRODUCT(('⚙️Pengaturan'!$C$3:$C$100=$F402)*('⚙️Pengaturan'!$D$3:$D$100))</f>
        <v>650000</v>
      </c>
      <c r="H402" s="70" t="s">
        <v>28</v>
      </c>
      <c r="I402" s="69">
        <v>350000.0</v>
      </c>
      <c r="J402" s="69">
        <f t="shared" si="1"/>
        <v>300000</v>
      </c>
      <c r="K402" s="71"/>
    </row>
    <row r="403" ht="17.25" customHeight="1">
      <c r="A403" s="61"/>
      <c r="B403" s="63" t="b">
        <v>0</v>
      </c>
      <c r="C403" s="64">
        <v>396.0</v>
      </c>
      <c r="D403" s="65">
        <v>45505.0</v>
      </c>
      <c r="E403" s="67" t="s">
        <v>449</v>
      </c>
      <c r="F403" s="67" t="s">
        <v>334</v>
      </c>
      <c r="G403" s="69">
        <f>SUMPRODUCT(('⚙️Pengaturan'!$C$3:$C$100=$F403)*('⚙️Pengaturan'!$D$3:$D$100))</f>
        <v>175000</v>
      </c>
      <c r="H403" s="70" t="s">
        <v>28</v>
      </c>
      <c r="I403" s="69"/>
      <c r="J403" s="69">
        <f t="shared" si="1"/>
        <v>175000</v>
      </c>
      <c r="K403" s="71"/>
    </row>
    <row r="404" ht="17.25" customHeight="1">
      <c r="A404" s="61"/>
      <c r="B404" s="63" t="b">
        <v>0</v>
      </c>
      <c r="C404" s="64">
        <v>397.0</v>
      </c>
      <c r="D404" s="65">
        <v>45505.0</v>
      </c>
      <c r="E404" s="67" t="s">
        <v>447</v>
      </c>
      <c r="F404" s="67" t="s">
        <v>334</v>
      </c>
      <c r="G404" s="69">
        <f>SUMPRODUCT(('⚙️Pengaturan'!$C$3:$C$100=$F404)*('⚙️Pengaturan'!$D$3:$D$100))</f>
        <v>175000</v>
      </c>
      <c r="H404" s="70" t="s">
        <v>28</v>
      </c>
      <c r="I404" s="69"/>
      <c r="J404" s="69">
        <f t="shared" si="1"/>
        <v>175000</v>
      </c>
      <c r="K404" s="71"/>
    </row>
    <row r="405" ht="17.25" customHeight="1">
      <c r="A405" s="61"/>
      <c r="B405" s="63" t="b">
        <v>0</v>
      </c>
      <c r="C405" s="64">
        <v>398.0</v>
      </c>
      <c r="D405" s="65">
        <v>45505.0</v>
      </c>
      <c r="E405" s="67" t="s">
        <v>457</v>
      </c>
      <c r="F405" s="67" t="s">
        <v>334</v>
      </c>
      <c r="G405" s="69">
        <f>SUMPRODUCT(('⚙️Pengaturan'!$C$3:$C$100=$F405)*('⚙️Pengaturan'!$D$3:$D$100))</f>
        <v>175000</v>
      </c>
      <c r="H405" s="70" t="s">
        <v>28</v>
      </c>
      <c r="I405" s="69"/>
      <c r="J405" s="69">
        <f t="shared" si="1"/>
        <v>175000</v>
      </c>
      <c r="K405" s="71"/>
    </row>
    <row r="406" ht="17.25" customHeight="1">
      <c r="A406" s="61"/>
      <c r="B406" s="63" t="b">
        <v>0</v>
      </c>
      <c r="C406" s="64">
        <v>399.0</v>
      </c>
      <c r="D406" s="65">
        <v>45505.0</v>
      </c>
      <c r="E406" s="67" t="s">
        <v>457</v>
      </c>
      <c r="F406" s="67" t="s">
        <v>329</v>
      </c>
      <c r="G406" s="69">
        <f>SUMPRODUCT(('⚙️Pengaturan'!$C$3:$C$100=$F406)*('⚙️Pengaturan'!$D$3:$D$100))</f>
        <v>750000</v>
      </c>
      <c r="H406" s="70" t="s">
        <v>28</v>
      </c>
      <c r="I406" s="69">
        <v>450000.0</v>
      </c>
      <c r="J406" s="69">
        <f t="shared" si="1"/>
        <v>300000</v>
      </c>
      <c r="K406" s="71"/>
    </row>
    <row r="407" ht="17.25" customHeight="1">
      <c r="A407" s="61"/>
      <c r="B407" s="63" t="b">
        <v>0</v>
      </c>
      <c r="C407" s="64">
        <v>400.0</v>
      </c>
      <c r="D407" s="65">
        <v>45505.0</v>
      </c>
      <c r="E407" s="67" t="s">
        <v>390</v>
      </c>
      <c r="F407" s="67" t="s">
        <v>44</v>
      </c>
      <c r="G407" s="69">
        <f>SUMPRODUCT(('⚙️Pengaturan'!$C$3:$C$100=$F407)*('⚙️Pengaturan'!$D$3:$D$100))</f>
        <v>150000</v>
      </c>
      <c r="H407" s="70" t="s">
        <v>63</v>
      </c>
      <c r="I407" s="69"/>
      <c r="J407" s="69">
        <f t="shared" si="1"/>
        <v>150000</v>
      </c>
      <c r="K407" s="71"/>
    </row>
    <row r="408" ht="17.25" customHeight="1">
      <c r="A408" s="205"/>
      <c r="B408" s="206" t="b">
        <v>0</v>
      </c>
      <c r="C408" s="207">
        <v>401.0</v>
      </c>
      <c r="D408" s="208">
        <v>45507.0</v>
      </c>
      <c r="E408" s="209" t="s">
        <v>445</v>
      </c>
      <c r="F408" s="209" t="s">
        <v>334</v>
      </c>
      <c r="G408" s="210">
        <f>SUMPRODUCT(('⚙️Pengaturan'!$C$3:$C$100=$F408)*('⚙️Pengaturan'!$D$3:$D$100))</f>
        <v>175000</v>
      </c>
      <c r="H408" s="211" t="s">
        <v>63</v>
      </c>
      <c r="I408" s="210"/>
      <c r="J408" s="210">
        <f t="shared" si="1"/>
        <v>175000</v>
      </c>
      <c r="K408" s="212"/>
    </row>
    <row r="409" ht="17.25" customHeight="1">
      <c r="A409" s="61"/>
      <c r="B409" s="63" t="b">
        <v>0</v>
      </c>
      <c r="C409" s="64">
        <v>402.0</v>
      </c>
      <c r="D409" s="65">
        <v>45507.0</v>
      </c>
      <c r="E409" s="67" t="s">
        <v>458</v>
      </c>
      <c r="F409" s="67" t="s">
        <v>334</v>
      </c>
      <c r="G409" s="69">
        <f>SUMPRODUCT(('⚙️Pengaturan'!$C$3:$C$100=$F409)*('⚙️Pengaturan'!$D$3:$D$100))</f>
        <v>175000</v>
      </c>
      <c r="H409" s="70" t="s">
        <v>28</v>
      </c>
      <c r="I409" s="69"/>
      <c r="J409" s="69">
        <f t="shared" si="1"/>
        <v>175000</v>
      </c>
      <c r="K409" s="71"/>
    </row>
    <row r="410" ht="17.25" customHeight="1">
      <c r="A410" s="61"/>
      <c r="B410" s="63" t="b">
        <v>0</v>
      </c>
      <c r="C410" s="64">
        <v>403.0</v>
      </c>
      <c r="D410" s="65">
        <v>45507.0</v>
      </c>
      <c r="E410" s="67" t="s">
        <v>446</v>
      </c>
      <c r="F410" s="67" t="s">
        <v>334</v>
      </c>
      <c r="G410" s="69">
        <f>SUMPRODUCT(('⚙️Pengaturan'!$C$3:$C$100=$F410)*('⚙️Pengaturan'!$D$3:$D$100))</f>
        <v>175000</v>
      </c>
      <c r="H410" s="70" t="s">
        <v>28</v>
      </c>
      <c r="I410" s="69"/>
      <c r="J410" s="69">
        <f t="shared" si="1"/>
        <v>175000</v>
      </c>
      <c r="K410" s="71"/>
    </row>
    <row r="411" ht="17.25" customHeight="1">
      <c r="A411" s="61"/>
      <c r="B411" s="63" t="b">
        <v>0</v>
      </c>
      <c r="C411" s="64">
        <v>404.0</v>
      </c>
      <c r="D411" s="65">
        <v>45507.0</v>
      </c>
      <c r="E411" s="67" t="s">
        <v>432</v>
      </c>
      <c r="F411" s="67" t="s">
        <v>44</v>
      </c>
      <c r="G411" s="69">
        <f>SUMPRODUCT(('⚙️Pengaturan'!$C$3:$C$100=$F411)*('⚙️Pengaturan'!$D$3:$D$100))</f>
        <v>150000</v>
      </c>
      <c r="H411" s="70" t="s">
        <v>28</v>
      </c>
      <c r="I411" s="69"/>
      <c r="J411" s="69">
        <f t="shared" si="1"/>
        <v>150000</v>
      </c>
      <c r="K411" s="71"/>
    </row>
    <row r="412" ht="17.25" customHeight="1">
      <c r="A412" s="61"/>
      <c r="B412" s="63" t="b">
        <v>0</v>
      </c>
      <c r="C412" s="64">
        <v>405.0</v>
      </c>
      <c r="D412" s="65">
        <v>45507.0</v>
      </c>
      <c r="E412" s="67" t="s">
        <v>449</v>
      </c>
      <c r="F412" s="67" t="s">
        <v>334</v>
      </c>
      <c r="G412" s="69">
        <f>SUMPRODUCT(('⚙️Pengaturan'!$C$3:$C$100=$F412)*('⚙️Pengaturan'!$D$3:$D$100))</f>
        <v>175000</v>
      </c>
      <c r="H412" s="70" t="s">
        <v>28</v>
      </c>
      <c r="I412" s="69"/>
      <c r="J412" s="69">
        <f t="shared" si="1"/>
        <v>175000</v>
      </c>
      <c r="K412" s="71"/>
    </row>
    <row r="413" ht="17.25" customHeight="1">
      <c r="A413" s="61"/>
      <c r="B413" s="63" t="b">
        <v>0</v>
      </c>
      <c r="C413" s="64">
        <v>406.0</v>
      </c>
      <c r="D413" s="65">
        <v>45507.0</v>
      </c>
      <c r="E413" s="67" t="s">
        <v>450</v>
      </c>
      <c r="F413" s="67" t="s">
        <v>334</v>
      </c>
      <c r="G413" s="69">
        <f>SUMPRODUCT(('⚙️Pengaturan'!$C$3:$C$100=$F413)*('⚙️Pengaturan'!$D$3:$D$100))</f>
        <v>175000</v>
      </c>
      <c r="H413" s="70" t="s">
        <v>28</v>
      </c>
      <c r="I413" s="69"/>
      <c r="J413" s="69">
        <f t="shared" si="1"/>
        <v>175000</v>
      </c>
      <c r="K413" s="71"/>
    </row>
    <row r="414" ht="17.25" customHeight="1">
      <c r="A414" s="61"/>
      <c r="B414" s="63" t="b">
        <v>0</v>
      </c>
      <c r="C414" s="64">
        <v>407.0</v>
      </c>
      <c r="D414" s="65">
        <v>45507.0</v>
      </c>
      <c r="E414" s="67" t="s">
        <v>431</v>
      </c>
      <c r="F414" s="67" t="s">
        <v>53</v>
      </c>
      <c r="G414" s="69">
        <f>SUMPRODUCT(('⚙️Pengaturan'!$C$3:$C$100=$F414)*('⚙️Pengaturan'!$D$3:$D$100))</f>
        <v>650000</v>
      </c>
      <c r="H414" s="70" t="s">
        <v>28</v>
      </c>
      <c r="I414" s="69">
        <v>350000.0</v>
      </c>
      <c r="J414" s="69">
        <f t="shared" si="1"/>
        <v>300000</v>
      </c>
      <c r="K414" s="71"/>
    </row>
    <row r="415" ht="17.25" customHeight="1">
      <c r="A415" s="205"/>
      <c r="B415" s="206" t="b">
        <v>0</v>
      </c>
      <c r="C415" s="207">
        <v>408.0</v>
      </c>
      <c r="D415" s="208">
        <v>45508.0</v>
      </c>
      <c r="E415" s="209" t="s">
        <v>443</v>
      </c>
      <c r="F415" s="209" t="s">
        <v>332</v>
      </c>
      <c r="G415" s="210">
        <f>SUMPRODUCT(('⚙️Pengaturan'!$C$3:$C$100=$F415)*('⚙️Pengaturan'!$D$3:$D$100))</f>
        <v>1300000</v>
      </c>
      <c r="H415" s="211" t="s">
        <v>63</v>
      </c>
      <c r="I415" s="210">
        <v>300000.0</v>
      </c>
      <c r="J415" s="210">
        <f t="shared" si="1"/>
        <v>1000000</v>
      </c>
      <c r="K415" s="212"/>
    </row>
    <row r="416" ht="17.25" customHeight="1">
      <c r="A416" s="61"/>
      <c r="B416" s="63" t="b">
        <v>0</v>
      </c>
      <c r="C416" s="64">
        <v>409.0</v>
      </c>
      <c r="D416" s="65">
        <v>45508.0</v>
      </c>
      <c r="E416" s="67" t="s">
        <v>459</v>
      </c>
      <c r="F416" s="67" t="s">
        <v>334</v>
      </c>
      <c r="G416" s="69">
        <f>SUMPRODUCT(('⚙️Pengaturan'!$C$3:$C$100=$F416)*('⚙️Pengaturan'!$D$3:$D$100))</f>
        <v>175000</v>
      </c>
      <c r="H416" s="70" t="s">
        <v>28</v>
      </c>
      <c r="I416" s="69"/>
      <c r="J416" s="69">
        <f t="shared" si="1"/>
        <v>175000</v>
      </c>
      <c r="K416" s="71"/>
    </row>
    <row r="417" ht="17.25" customHeight="1">
      <c r="A417" s="61"/>
      <c r="B417" s="63" t="b">
        <v>0</v>
      </c>
      <c r="C417" s="64">
        <v>410.0</v>
      </c>
      <c r="D417" s="65">
        <v>45508.0</v>
      </c>
      <c r="E417" s="67" t="s">
        <v>455</v>
      </c>
      <c r="F417" s="67" t="s">
        <v>334</v>
      </c>
      <c r="G417" s="69">
        <f>SUMPRODUCT(('⚙️Pengaturan'!$C$3:$C$100=$F417)*('⚙️Pengaturan'!$D$3:$D$100))</f>
        <v>175000</v>
      </c>
      <c r="H417" s="70" t="s">
        <v>28</v>
      </c>
      <c r="I417" s="69"/>
      <c r="J417" s="69">
        <f t="shared" si="1"/>
        <v>175000</v>
      </c>
      <c r="K417" s="71"/>
    </row>
    <row r="418" ht="17.25" customHeight="1">
      <c r="A418" s="61"/>
      <c r="B418" s="63" t="b">
        <v>0</v>
      </c>
      <c r="C418" s="64">
        <v>411.0</v>
      </c>
      <c r="D418" s="65">
        <v>45508.0</v>
      </c>
      <c r="E418" s="67" t="s">
        <v>460</v>
      </c>
      <c r="F418" s="67" t="s">
        <v>334</v>
      </c>
      <c r="G418" s="69">
        <f>SUMPRODUCT(('⚙️Pengaturan'!$C$3:$C$100=$F418)*('⚙️Pengaturan'!$D$3:$D$100))</f>
        <v>175000</v>
      </c>
      <c r="H418" s="70" t="s">
        <v>28</v>
      </c>
      <c r="I418" s="69"/>
      <c r="J418" s="69">
        <f t="shared" si="1"/>
        <v>175000</v>
      </c>
      <c r="K418" s="71"/>
    </row>
    <row r="419" ht="17.25" customHeight="1">
      <c r="A419" s="61"/>
      <c r="B419" s="63" t="b">
        <v>0</v>
      </c>
      <c r="C419" s="64">
        <v>412.0</v>
      </c>
      <c r="D419" s="65">
        <v>45508.0</v>
      </c>
      <c r="E419" s="67" t="s">
        <v>461</v>
      </c>
      <c r="F419" s="67" t="s">
        <v>334</v>
      </c>
      <c r="G419" s="69">
        <f>SUMPRODUCT(('⚙️Pengaturan'!$C$3:$C$100=$F419)*('⚙️Pengaturan'!$D$3:$D$100))</f>
        <v>175000</v>
      </c>
      <c r="H419" s="70" t="s">
        <v>63</v>
      </c>
      <c r="I419" s="69"/>
      <c r="J419" s="69">
        <f t="shared" si="1"/>
        <v>175000</v>
      </c>
      <c r="K419" s="71"/>
    </row>
    <row r="420" ht="17.25" customHeight="1">
      <c r="A420" s="61"/>
      <c r="B420" s="63" t="b">
        <v>0</v>
      </c>
      <c r="C420" s="64">
        <v>413.0</v>
      </c>
      <c r="D420" s="65">
        <v>45508.0</v>
      </c>
      <c r="E420" s="67" t="s">
        <v>457</v>
      </c>
      <c r="F420" s="67" t="s">
        <v>329</v>
      </c>
      <c r="G420" s="69">
        <f>SUMPRODUCT(('⚙️Pengaturan'!$C$3:$C$100=$F420)*('⚙️Pengaturan'!$D$3:$D$100))</f>
        <v>750000</v>
      </c>
      <c r="H420" s="70" t="s">
        <v>28</v>
      </c>
      <c r="I420" s="69">
        <v>300000.0</v>
      </c>
      <c r="J420" s="69">
        <f t="shared" si="1"/>
        <v>450000</v>
      </c>
      <c r="K420" s="71"/>
    </row>
    <row r="421" ht="17.25" customHeight="1">
      <c r="A421" s="205"/>
      <c r="B421" s="206" t="b">
        <v>0</v>
      </c>
      <c r="C421" s="207">
        <v>414.0</v>
      </c>
      <c r="D421" s="208">
        <v>45509.0</v>
      </c>
      <c r="E421" s="209" t="s">
        <v>462</v>
      </c>
      <c r="F421" s="209" t="s">
        <v>334</v>
      </c>
      <c r="G421" s="210">
        <f>SUMPRODUCT(('⚙️Pengaturan'!$C$3:$C$100=$F421)*('⚙️Pengaturan'!$D$3:$D$100))</f>
        <v>175000</v>
      </c>
      <c r="H421" s="211" t="s">
        <v>28</v>
      </c>
      <c r="I421" s="210"/>
      <c r="J421" s="210">
        <f t="shared" si="1"/>
        <v>175000</v>
      </c>
      <c r="K421" s="212"/>
    </row>
    <row r="422" ht="17.25" customHeight="1">
      <c r="A422" s="61"/>
      <c r="B422" s="63" t="b">
        <v>0</v>
      </c>
      <c r="C422" s="64">
        <v>415.0</v>
      </c>
      <c r="D422" s="65">
        <v>45509.0</v>
      </c>
      <c r="E422" s="67" t="s">
        <v>434</v>
      </c>
      <c r="F422" s="67" t="s">
        <v>329</v>
      </c>
      <c r="G422" s="69">
        <f>SUMPRODUCT(('⚙️Pengaturan'!$C$3:$C$100=$F422)*('⚙️Pengaturan'!$D$3:$D$100))</f>
        <v>750000</v>
      </c>
      <c r="H422" s="70" t="s">
        <v>28</v>
      </c>
      <c r="I422" s="69">
        <v>300000.0</v>
      </c>
      <c r="J422" s="69">
        <f t="shared" si="1"/>
        <v>450000</v>
      </c>
      <c r="K422" s="71"/>
    </row>
    <row r="423" ht="17.25" customHeight="1">
      <c r="A423" s="61"/>
      <c r="B423" s="63" t="b">
        <v>0</v>
      </c>
      <c r="C423" s="64">
        <v>416.0</v>
      </c>
      <c r="D423" s="65">
        <v>45509.0</v>
      </c>
      <c r="E423" s="67" t="s">
        <v>445</v>
      </c>
      <c r="F423" s="67" t="s">
        <v>334</v>
      </c>
      <c r="G423" s="69">
        <f>SUMPRODUCT(('⚙️Pengaturan'!$C$3:$C$100=$F423)*('⚙️Pengaturan'!$D$3:$D$100))</f>
        <v>175000</v>
      </c>
      <c r="H423" s="70" t="s">
        <v>63</v>
      </c>
      <c r="I423" s="69"/>
      <c r="J423" s="69">
        <f t="shared" si="1"/>
        <v>175000</v>
      </c>
      <c r="K423" s="71"/>
    </row>
    <row r="424" ht="17.25" customHeight="1">
      <c r="A424" s="61"/>
      <c r="B424" s="63" t="b">
        <v>0</v>
      </c>
      <c r="C424" s="64">
        <v>417.0</v>
      </c>
      <c r="D424" s="65">
        <v>45509.0</v>
      </c>
      <c r="E424" s="67" t="s">
        <v>449</v>
      </c>
      <c r="F424" s="67" t="s">
        <v>329</v>
      </c>
      <c r="G424" s="69">
        <f>SUMPRODUCT(('⚙️Pengaturan'!$C$3:$C$100=$F424)*('⚙️Pengaturan'!$D$3:$D$100))</f>
        <v>750000</v>
      </c>
      <c r="H424" s="70" t="s">
        <v>63</v>
      </c>
      <c r="I424" s="69"/>
      <c r="J424" s="69">
        <f t="shared" si="1"/>
        <v>750000</v>
      </c>
      <c r="K424" s="71"/>
    </row>
    <row r="425" ht="17.25" customHeight="1">
      <c r="A425" s="61"/>
      <c r="B425" s="63" t="b">
        <v>0</v>
      </c>
      <c r="C425" s="64">
        <v>418.0</v>
      </c>
      <c r="D425" s="65">
        <v>45509.0</v>
      </c>
      <c r="E425" s="67" t="s">
        <v>463</v>
      </c>
      <c r="F425" s="67" t="s">
        <v>334</v>
      </c>
      <c r="G425" s="69">
        <f>SUMPRODUCT(('⚙️Pengaturan'!$C$3:$C$100=$F425)*('⚙️Pengaturan'!$D$3:$D$100))</f>
        <v>175000</v>
      </c>
      <c r="H425" s="70" t="s">
        <v>28</v>
      </c>
      <c r="I425" s="69"/>
      <c r="J425" s="69">
        <f t="shared" si="1"/>
        <v>175000</v>
      </c>
      <c r="K425" s="71"/>
    </row>
    <row r="426" ht="17.25" customHeight="1">
      <c r="A426" s="61"/>
      <c r="B426" s="63" t="b">
        <v>0</v>
      </c>
      <c r="C426" s="64">
        <v>419.0</v>
      </c>
      <c r="D426" s="65">
        <v>45509.0</v>
      </c>
      <c r="E426" s="67" t="s">
        <v>464</v>
      </c>
      <c r="F426" s="67" t="s">
        <v>329</v>
      </c>
      <c r="G426" s="69">
        <f>SUMPRODUCT(('⚙️Pengaturan'!$C$3:$C$100=$F426)*('⚙️Pengaturan'!$D$3:$D$100))</f>
        <v>750000</v>
      </c>
      <c r="H426" s="70" t="s">
        <v>28</v>
      </c>
      <c r="I426" s="69">
        <v>450000.0</v>
      </c>
      <c r="J426" s="69">
        <f t="shared" si="1"/>
        <v>300000</v>
      </c>
      <c r="K426" s="71"/>
    </row>
    <row r="427" ht="17.25" customHeight="1">
      <c r="A427" s="205"/>
      <c r="B427" s="206" t="b">
        <v>0</v>
      </c>
      <c r="C427" s="207">
        <v>420.0</v>
      </c>
      <c r="D427" s="208">
        <v>45510.0</v>
      </c>
      <c r="E427" s="209" t="s">
        <v>465</v>
      </c>
      <c r="F427" s="209" t="s">
        <v>334</v>
      </c>
      <c r="G427" s="210">
        <f>SUMPRODUCT(('⚙️Pengaturan'!$C$3:$C$100=$F427)*('⚙️Pengaturan'!$D$3:$D$100))</f>
        <v>175000</v>
      </c>
      <c r="H427" s="211" t="s">
        <v>28</v>
      </c>
      <c r="I427" s="210"/>
      <c r="J427" s="210">
        <f t="shared" si="1"/>
        <v>175000</v>
      </c>
      <c r="K427" s="212"/>
    </row>
    <row r="428" ht="17.25" customHeight="1">
      <c r="A428" s="61"/>
      <c r="B428" s="63" t="b">
        <v>0</v>
      </c>
      <c r="C428" s="64">
        <v>421.0</v>
      </c>
      <c r="D428" s="65">
        <v>45510.0</v>
      </c>
      <c r="E428" s="67" t="s">
        <v>459</v>
      </c>
      <c r="F428" s="67" t="s">
        <v>329</v>
      </c>
      <c r="G428" s="69">
        <f>SUMPRODUCT(('⚙️Pengaturan'!$C$3:$C$100=$F428)*('⚙️Pengaturan'!$D$3:$D$100))</f>
        <v>750000</v>
      </c>
      <c r="H428" s="70" t="s">
        <v>28</v>
      </c>
      <c r="I428" s="69">
        <v>450000.0</v>
      </c>
      <c r="J428" s="69">
        <f t="shared" si="1"/>
        <v>300000</v>
      </c>
      <c r="K428" s="71"/>
    </row>
    <row r="429" ht="17.25" customHeight="1">
      <c r="A429" s="61"/>
      <c r="B429" s="63" t="b">
        <v>0</v>
      </c>
      <c r="C429" s="64">
        <v>422.0</v>
      </c>
      <c r="D429" s="65">
        <v>45510.0</v>
      </c>
      <c r="E429" s="67" t="s">
        <v>416</v>
      </c>
      <c r="F429" s="67" t="s">
        <v>44</v>
      </c>
      <c r="G429" s="69">
        <f>SUMPRODUCT(('⚙️Pengaturan'!$C$3:$C$100=$F429)*('⚙️Pengaturan'!$D$3:$D$100))</f>
        <v>150000</v>
      </c>
      <c r="H429" s="70" t="s">
        <v>28</v>
      </c>
      <c r="I429" s="69"/>
      <c r="J429" s="69">
        <f t="shared" si="1"/>
        <v>150000</v>
      </c>
      <c r="K429" s="71"/>
    </row>
    <row r="430" ht="17.25" customHeight="1">
      <c r="A430" s="61"/>
      <c r="B430" s="63" t="b">
        <v>0</v>
      </c>
      <c r="C430" s="64">
        <v>423.0</v>
      </c>
      <c r="D430" s="65">
        <v>45510.0</v>
      </c>
      <c r="E430" s="67" t="s">
        <v>455</v>
      </c>
      <c r="F430" s="67" t="s">
        <v>334</v>
      </c>
      <c r="G430" s="69">
        <f>SUMPRODUCT(('⚙️Pengaturan'!$C$3:$C$100=$F430)*('⚙️Pengaturan'!$D$3:$D$100))</f>
        <v>175000</v>
      </c>
      <c r="H430" s="70" t="s">
        <v>28</v>
      </c>
      <c r="I430" s="69"/>
      <c r="J430" s="69">
        <f t="shared" si="1"/>
        <v>175000</v>
      </c>
      <c r="K430" s="71"/>
    </row>
    <row r="431" ht="17.25" customHeight="1">
      <c r="A431" s="61"/>
      <c r="B431" s="63" t="b">
        <v>0</v>
      </c>
      <c r="C431" s="64">
        <v>424.0</v>
      </c>
      <c r="D431" s="65">
        <v>45510.0</v>
      </c>
      <c r="E431" s="67" t="s">
        <v>446</v>
      </c>
      <c r="F431" s="67" t="s">
        <v>334</v>
      </c>
      <c r="G431" s="69">
        <f>SUMPRODUCT(('⚙️Pengaturan'!$C$3:$C$100=$F431)*('⚙️Pengaturan'!$D$3:$D$100))</f>
        <v>175000</v>
      </c>
      <c r="H431" s="70" t="s">
        <v>28</v>
      </c>
      <c r="I431" s="69"/>
      <c r="J431" s="69">
        <f t="shared" si="1"/>
        <v>175000</v>
      </c>
      <c r="K431" s="71"/>
    </row>
    <row r="432" ht="17.25" customHeight="1">
      <c r="A432" s="205"/>
      <c r="B432" s="206" t="b">
        <v>0</v>
      </c>
      <c r="C432" s="207">
        <v>425.0</v>
      </c>
      <c r="D432" s="208">
        <v>45511.0</v>
      </c>
      <c r="E432" s="209" t="s">
        <v>466</v>
      </c>
      <c r="F432" s="209" t="s">
        <v>332</v>
      </c>
      <c r="G432" s="210">
        <f>SUMPRODUCT(('⚙️Pengaturan'!$C$3:$C$100=$F432)*('⚙️Pengaturan'!$D$3:$D$100))</f>
        <v>1300000</v>
      </c>
      <c r="H432" s="211" t="s">
        <v>28</v>
      </c>
      <c r="I432" s="210"/>
      <c r="J432" s="210">
        <f t="shared" si="1"/>
        <v>1300000</v>
      </c>
      <c r="K432" s="212"/>
    </row>
    <row r="433" ht="17.25" customHeight="1">
      <c r="A433" s="61"/>
      <c r="B433" s="63" t="b">
        <v>0</v>
      </c>
      <c r="C433" s="64">
        <v>426.0</v>
      </c>
      <c r="D433" s="65">
        <v>45511.0</v>
      </c>
      <c r="E433" s="67" t="s">
        <v>467</v>
      </c>
      <c r="F433" s="67" t="s">
        <v>334</v>
      </c>
      <c r="G433" s="69">
        <f>SUMPRODUCT(('⚙️Pengaturan'!$C$3:$C$100=$F433)*('⚙️Pengaturan'!$D$3:$D$100))</f>
        <v>175000</v>
      </c>
      <c r="H433" s="70" t="s">
        <v>28</v>
      </c>
      <c r="I433" s="69"/>
      <c r="J433" s="69">
        <f t="shared" si="1"/>
        <v>175000</v>
      </c>
      <c r="K433" s="71"/>
    </row>
    <row r="434" ht="17.25" customHeight="1">
      <c r="A434" s="205"/>
      <c r="B434" s="206" t="b">
        <v>0</v>
      </c>
      <c r="C434" s="207">
        <v>427.0</v>
      </c>
      <c r="D434" s="208">
        <v>45512.0</v>
      </c>
      <c r="E434" s="209" t="s">
        <v>468</v>
      </c>
      <c r="F434" s="209" t="s">
        <v>334</v>
      </c>
      <c r="G434" s="210">
        <f>SUMPRODUCT(('⚙️Pengaturan'!$C$3:$C$100=$F434)*('⚙️Pengaturan'!$D$3:$D$100))</f>
        <v>175000</v>
      </c>
      <c r="H434" s="211" t="s">
        <v>28</v>
      </c>
      <c r="I434" s="210"/>
      <c r="J434" s="210">
        <f t="shared" si="1"/>
        <v>175000</v>
      </c>
      <c r="K434" s="212"/>
    </row>
    <row r="435" ht="17.25" customHeight="1">
      <c r="A435" s="61"/>
      <c r="B435" s="63" t="b">
        <v>0</v>
      </c>
      <c r="C435" s="64">
        <v>428.0</v>
      </c>
      <c r="D435" s="65">
        <v>45512.0</v>
      </c>
      <c r="E435" s="67" t="s">
        <v>463</v>
      </c>
      <c r="F435" s="67" t="s">
        <v>332</v>
      </c>
      <c r="G435" s="69">
        <f>SUMPRODUCT(('⚙️Pengaturan'!$C$3:$C$100=$F435)*('⚙️Pengaturan'!$D$3:$D$100))</f>
        <v>1300000</v>
      </c>
      <c r="H435" s="70" t="s">
        <v>28</v>
      </c>
      <c r="I435" s="69">
        <v>800000.0</v>
      </c>
      <c r="J435" s="69">
        <f t="shared" si="1"/>
        <v>500000</v>
      </c>
      <c r="K435" s="71"/>
    </row>
    <row r="436" ht="17.25" customHeight="1">
      <c r="A436" s="61"/>
      <c r="B436" s="63" t="b">
        <v>0</v>
      </c>
      <c r="C436" s="64">
        <v>429.0</v>
      </c>
      <c r="D436" s="65">
        <v>45512.0</v>
      </c>
      <c r="E436" s="67" t="s">
        <v>418</v>
      </c>
      <c r="F436" s="67" t="s">
        <v>53</v>
      </c>
      <c r="G436" s="69">
        <f>SUMPRODUCT(('⚙️Pengaturan'!$C$3:$C$100=$F436)*('⚙️Pengaturan'!$D$3:$D$100))</f>
        <v>650000</v>
      </c>
      <c r="H436" s="70" t="s">
        <v>28</v>
      </c>
      <c r="I436" s="69"/>
      <c r="J436" s="69">
        <f t="shared" si="1"/>
        <v>650000</v>
      </c>
      <c r="K436" s="71"/>
    </row>
    <row r="437" ht="17.25" customHeight="1">
      <c r="A437" s="61"/>
      <c r="B437" s="63" t="b">
        <v>0</v>
      </c>
      <c r="C437" s="64">
        <v>430.0</v>
      </c>
      <c r="D437" s="65">
        <v>45512.0</v>
      </c>
      <c r="E437" s="67" t="s">
        <v>419</v>
      </c>
      <c r="F437" s="67" t="s">
        <v>53</v>
      </c>
      <c r="G437" s="69">
        <f>SUMPRODUCT(('⚙️Pengaturan'!$C$3:$C$100=$F437)*('⚙️Pengaturan'!$D$3:$D$100))</f>
        <v>650000</v>
      </c>
      <c r="H437" s="70" t="s">
        <v>28</v>
      </c>
      <c r="I437" s="69">
        <v>300000.0</v>
      </c>
      <c r="J437" s="69">
        <f t="shared" si="1"/>
        <v>350000</v>
      </c>
      <c r="K437" s="71"/>
    </row>
    <row r="438" ht="17.25" customHeight="1">
      <c r="A438" s="61"/>
      <c r="B438" s="63" t="b">
        <v>0</v>
      </c>
      <c r="C438" s="64">
        <v>431.0</v>
      </c>
      <c r="D438" s="65">
        <v>45512.0</v>
      </c>
      <c r="E438" s="67" t="s">
        <v>469</v>
      </c>
      <c r="F438" s="67" t="s">
        <v>24</v>
      </c>
      <c r="G438" s="69">
        <v>175000.0</v>
      </c>
      <c r="H438" s="70" t="s">
        <v>28</v>
      </c>
      <c r="I438" s="69"/>
      <c r="J438" s="69">
        <f t="shared" si="1"/>
        <v>175000</v>
      </c>
      <c r="K438" s="71"/>
    </row>
    <row r="439" ht="17.25" customHeight="1">
      <c r="A439" s="61"/>
      <c r="B439" s="63" t="b">
        <v>0</v>
      </c>
      <c r="C439" s="64">
        <v>432.0</v>
      </c>
      <c r="D439" s="65">
        <v>45512.0</v>
      </c>
      <c r="E439" s="67" t="s">
        <v>390</v>
      </c>
      <c r="F439" s="67" t="s">
        <v>44</v>
      </c>
      <c r="G439" s="69">
        <f>SUMPRODUCT(('⚙️Pengaturan'!$C$3:$C$100=$F439)*('⚙️Pengaturan'!$D$3:$D$100))</f>
        <v>150000</v>
      </c>
      <c r="H439" s="70" t="s">
        <v>63</v>
      </c>
      <c r="I439" s="69"/>
      <c r="J439" s="69">
        <f t="shared" si="1"/>
        <v>150000</v>
      </c>
      <c r="K439" s="71"/>
    </row>
    <row r="440" ht="17.25" customHeight="1">
      <c r="A440" s="205"/>
      <c r="B440" s="206" t="b">
        <v>0</v>
      </c>
      <c r="C440" s="207">
        <v>433.0</v>
      </c>
      <c r="D440" s="208">
        <v>45514.0</v>
      </c>
      <c r="E440" s="209" t="s">
        <v>464</v>
      </c>
      <c r="F440" s="209" t="s">
        <v>329</v>
      </c>
      <c r="G440" s="210">
        <f>SUMPRODUCT(('⚙️Pengaturan'!$C$3:$C$100=$F440)*('⚙️Pengaturan'!$D$3:$D$100))</f>
        <v>750000</v>
      </c>
      <c r="H440" s="211" t="s">
        <v>28</v>
      </c>
      <c r="I440" s="210">
        <v>300000.0</v>
      </c>
      <c r="J440" s="210">
        <f t="shared" si="1"/>
        <v>450000</v>
      </c>
      <c r="K440" s="212"/>
    </row>
    <row r="441" ht="17.25" customHeight="1">
      <c r="A441" s="61"/>
      <c r="B441" s="63" t="b">
        <v>0</v>
      </c>
      <c r="C441" s="64">
        <v>434.0</v>
      </c>
      <c r="D441" s="65">
        <v>45514.0</v>
      </c>
      <c r="E441" s="67" t="s">
        <v>455</v>
      </c>
      <c r="F441" s="67" t="s">
        <v>334</v>
      </c>
      <c r="G441" s="69">
        <f>SUMPRODUCT(('⚙️Pengaturan'!$C$3:$C$100=$F441)*('⚙️Pengaturan'!$D$3:$D$100))</f>
        <v>175000</v>
      </c>
      <c r="H441" s="70" t="s">
        <v>28</v>
      </c>
      <c r="I441" s="69"/>
      <c r="J441" s="69">
        <f t="shared" si="1"/>
        <v>175000</v>
      </c>
      <c r="K441" s="71"/>
    </row>
    <row r="442" ht="17.25" customHeight="1">
      <c r="A442" s="61"/>
      <c r="B442" s="63" t="b">
        <v>0</v>
      </c>
      <c r="C442" s="64">
        <v>435.0</v>
      </c>
      <c r="D442" s="65">
        <v>45514.0</v>
      </c>
      <c r="E442" s="67" t="s">
        <v>470</v>
      </c>
      <c r="F442" s="67" t="s">
        <v>334</v>
      </c>
      <c r="G442" s="69">
        <f>SUMPRODUCT(('⚙️Pengaturan'!$C$3:$C$100=$F442)*('⚙️Pengaturan'!$D$3:$D$100))</f>
        <v>175000</v>
      </c>
      <c r="H442" s="70" t="s">
        <v>28</v>
      </c>
      <c r="I442" s="69"/>
      <c r="J442" s="69">
        <f t="shared" si="1"/>
        <v>175000</v>
      </c>
      <c r="K442" s="71"/>
    </row>
    <row r="443" ht="17.25" customHeight="1">
      <c r="A443" s="61"/>
      <c r="B443" s="63" t="b">
        <v>0</v>
      </c>
      <c r="C443" s="64">
        <v>436.0</v>
      </c>
      <c r="D443" s="65">
        <v>45514.0</v>
      </c>
      <c r="E443" s="67" t="s">
        <v>432</v>
      </c>
      <c r="F443" s="67" t="s">
        <v>53</v>
      </c>
      <c r="G443" s="69">
        <f>SUMPRODUCT(('⚙️Pengaturan'!$C$3:$C$100=$F443)*('⚙️Pengaturan'!$D$3:$D$100))</f>
        <v>650000</v>
      </c>
      <c r="H443" s="70" t="s">
        <v>28</v>
      </c>
      <c r="I443" s="69">
        <v>250000.0</v>
      </c>
      <c r="J443" s="69">
        <f t="shared" si="1"/>
        <v>400000</v>
      </c>
      <c r="K443" s="71"/>
    </row>
    <row r="444" ht="17.25" customHeight="1">
      <c r="A444" s="61"/>
      <c r="B444" s="63" t="b">
        <v>0</v>
      </c>
      <c r="C444" s="64">
        <v>437.0</v>
      </c>
      <c r="D444" s="65">
        <v>45514.0</v>
      </c>
      <c r="E444" s="67" t="s">
        <v>459</v>
      </c>
      <c r="F444" s="67" t="s">
        <v>329</v>
      </c>
      <c r="G444" s="69">
        <f>SUMPRODUCT(('⚙️Pengaturan'!$C$3:$C$100=$F444)*('⚙️Pengaturan'!$D$3:$D$100))</f>
        <v>750000</v>
      </c>
      <c r="H444" s="70" t="s">
        <v>63</v>
      </c>
      <c r="I444" s="69">
        <v>300000.0</v>
      </c>
      <c r="J444" s="69">
        <f t="shared" si="1"/>
        <v>450000</v>
      </c>
      <c r="K444" s="71"/>
    </row>
    <row r="445" ht="17.25" customHeight="1">
      <c r="A445" s="61"/>
      <c r="B445" s="63" t="b">
        <v>0</v>
      </c>
      <c r="C445" s="64">
        <v>438.0</v>
      </c>
      <c r="D445" s="65">
        <v>45514.0</v>
      </c>
      <c r="E445" s="67" t="s">
        <v>471</v>
      </c>
      <c r="F445" s="67" t="s">
        <v>53</v>
      </c>
      <c r="G445" s="69">
        <f>SUMPRODUCT(('⚙️Pengaturan'!$C$3:$C$100=$F445)*('⚙️Pengaturan'!$D$3:$D$100))</f>
        <v>650000</v>
      </c>
      <c r="H445" s="70" t="s">
        <v>63</v>
      </c>
      <c r="I445" s="69">
        <v>350000.0</v>
      </c>
      <c r="J445" s="69">
        <f t="shared" si="1"/>
        <v>300000</v>
      </c>
      <c r="K445" s="71"/>
    </row>
    <row r="446" ht="17.25" customHeight="1">
      <c r="A446" s="205"/>
      <c r="B446" s="206" t="b">
        <v>0</v>
      </c>
      <c r="C446" s="207">
        <v>439.0</v>
      </c>
      <c r="D446" s="208">
        <v>45515.0</v>
      </c>
      <c r="E446" s="209" t="s">
        <v>472</v>
      </c>
      <c r="F446" s="209" t="s">
        <v>329</v>
      </c>
      <c r="G446" s="210">
        <f>SUMPRODUCT(('⚙️Pengaturan'!$C$3:$C$100=$F446)*('⚙️Pengaturan'!$D$3:$D$100))</f>
        <v>750000</v>
      </c>
      <c r="H446" s="211" t="s">
        <v>63</v>
      </c>
      <c r="I446" s="210"/>
      <c r="J446" s="210">
        <f t="shared" si="1"/>
        <v>750000</v>
      </c>
      <c r="K446" s="212"/>
    </row>
    <row r="447" ht="17.25" customHeight="1">
      <c r="A447" s="61"/>
      <c r="B447" s="63" t="b">
        <v>0</v>
      </c>
      <c r="C447" s="64">
        <v>440.0</v>
      </c>
      <c r="D447" s="65">
        <v>45515.0</v>
      </c>
      <c r="E447" s="67" t="s">
        <v>473</v>
      </c>
      <c r="F447" s="67" t="s">
        <v>332</v>
      </c>
      <c r="G447" s="69">
        <f>SUMPRODUCT(('⚙️Pengaturan'!$C$3:$C$100=$F447)*('⚙️Pengaturan'!$D$3:$D$100))</f>
        <v>1300000</v>
      </c>
      <c r="H447" s="70" t="s">
        <v>28</v>
      </c>
      <c r="I447" s="69">
        <v>1000000.0</v>
      </c>
      <c r="J447" s="69">
        <f t="shared" si="1"/>
        <v>300000</v>
      </c>
      <c r="K447" s="71"/>
    </row>
    <row r="448" ht="17.25" customHeight="1">
      <c r="A448" s="61"/>
      <c r="B448" s="63" t="b">
        <v>0</v>
      </c>
      <c r="C448" s="64">
        <v>441.0</v>
      </c>
      <c r="D448" s="65">
        <v>45515.0</v>
      </c>
      <c r="E448" s="67" t="s">
        <v>416</v>
      </c>
      <c r="F448" s="67" t="s">
        <v>44</v>
      </c>
      <c r="G448" s="69">
        <f>SUMPRODUCT(('⚙️Pengaturan'!$C$3:$C$100=$F448)*('⚙️Pengaturan'!$D$3:$D$100))</f>
        <v>150000</v>
      </c>
      <c r="H448" s="70" t="s">
        <v>28</v>
      </c>
      <c r="I448" s="69"/>
      <c r="J448" s="69">
        <f t="shared" si="1"/>
        <v>150000</v>
      </c>
      <c r="K448" s="71"/>
    </row>
    <row r="449" ht="17.25" customHeight="1">
      <c r="A449" s="205"/>
      <c r="B449" s="206" t="b">
        <v>0</v>
      </c>
      <c r="C449" s="207">
        <v>442.0</v>
      </c>
      <c r="D449" s="208">
        <v>45516.0</v>
      </c>
      <c r="E449" s="209" t="s">
        <v>474</v>
      </c>
      <c r="F449" s="209" t="s">
        <v>67</v>
      </c>
      <c r="G449" s="210">
        <f>SUMPRODUCT(('⚙️Pengaturan'!$C$3:$C$100=$F449)*('⚙️Pengaturan'!$D$3:$D$100))</f>
        <v>1200000</v>
      </c>
      <c r="H449" s="211" t="s">
        <v>28</v>
      </c>
      <c r="I449" s="210"/>
      <c r="J449" s="210">
        <f t="shared" si="1"/>
        <v>1200000</v>
      </c>
      <c r="K449" s="212"/>
    </row>
    <row r="450" ht="17.25" customHeight="1">
      <c r="A450" s="61"/>
      <c r="B450" s="63" t="b">
        <v>0</v>
      </c>
      <c r="C450" s="64">
        <v>443.0</v>
      </c>
      <c r="D450" s="65">
        <v>45516.0</v>
      </c>
      <c r="E450" s="67" t="s">
        <v>475</v>
      </c>
      <c r="F450" s="67" t="s">
        <v>53</v>
      </c>
      <c r="G450" s="69">
        <f>SUMPRODUCT(('⚙️Pengaturan'!$C$3:$C$100=$F450)*('⚙️Pengaturan'!$D$3:$D$100))</f>
        <v>650000</v>
      </c>
      <c r="H450" s="70" t="s">
        <v>28</v>
      </c>
      <c r="I450" s="69"/>
      <c r="J450" s="69">
        <f t="shared" si="1"/>
        <v>650000</v>
      </c>
      <c r="K450" s="71"/>
    </row>
    <row r="451" ht="17.25" customHeight="1">
      <c r="A451" s="61"/>
      <c r="B451" s="63" t="b">
        <v>0</v>
      </c>
      <c r="C451" s="64">
        <v>444.0</v>
      </c>
      <c r="D451" s="65">
        <v>45516.0</v>
      </c>
      <c r="E451" s="67" t="s">
        <v>476</v>
      </c>
      <c r="F451" s="67" t="s">
        <v>53</v>
      </c>
      <c r="G451" s="69">
        <f>SUMPRODUCT(('⚙️Pengaturan'!$C$3:$C$100=$F451)*('⚙️Pengaturan'!$D$3:$D$100))</f>
        <v>650000</v>
      </c>
      <c r="H451" s="70" t="s">
        <v>28</v>
      </c>
      <c r="I451" s="69"/>
      <c r="J451" s="69">
        <f t="shared" si="1"/>
        <v>650000</v>
      </c>
      <c r="K451" s="71"/>
    </row>
    <row r="452" ht="17.25" customHeight="1">
      <c r="A452" s="205"/>
      <c r="B452" s="206" t="b">
        <v>0</v>
      </c>
      <c r="C452" s="207">
        <v>445.0</v>
      </c>
      <c r="D452" s="208">
        <v>45517.0</v>
      </c>
      <c r="E452" s="209" t="s">
        <v>477</v>
      </c>
      <c r="F452" s="209" t="s">
        <v>334</v>
      </c>
      <c r="G452" s="210">
        <f>SUMPRODUCT(('⚙️Pengaturan'!$C$3:$C$100=$F452)*('⚙️Pengaturan'!$D$3:$D$100))</f>
        <v>175000</v>
      </c>
      <c r="H452" s="211" t="s">
        <v>28</v>
      </c>
      <c r="I452" s="210"/>
      <c r="J452" s="210">
        <f t="shared" si="1"/>
        <v>175000</v>
      </c>
      <c r="K452" s="212"/>
    </row>
    <row r="453" ht="17.25" customHeight="1">
      <c r="A453" s="61"/>
      <c r="B453" s="63" t="b">
        <v>0</v>
      </c>
      <c r="C453" s="64">
        <v>446.0</v>
      </c>
      <c r="D453" s="65">
        <v>45517.0</v>
      </c>
      <c r="E453" s="67" t="s">
        <v>478</v>
      </c>
      <c r="F453" s="67" t="s">
        <v>336</v>
      </c>
      <c r="G453" s="69">
        <f>SUMPRODUCT(('⚙️Pengaturan'!$C$3:$C$100=$F453)*('⚙️Pengaturan'!$D$3:$D$100))</f>
        <v>225000</v>
      </c>
      <c r="H453" s="70" t="s">
        <v>28</v>
      </c>
      <c r="I453" s="69"/>
      <c r="J453" s="69">
        <f t="shared" si="1"/>
        <v>225000</v>
      </c>
      <c r="K453" s="71"/>
    </row>
    <row r="454" ht="17.25" customHeight="1">
      <c r="A454" s="61"/>
      <c r="B454" s="63" t="b">
        <v>0</v>
      </c>
      <c r="C454" s="64">
        <v>447.0</v>
      </c>
      <c r="D454" s="65">
        <v>45517.0</v>
      </c>
      <c r="E454" s="67" t="s">
        <v>463</v>
      </c>
      <c r="F454" s="67" t="s">
        <v>332</v>
      </c>
      <c r="G454" s="69">
        <f>SUMPRODUCT(('⚙️Pengaturan'!$C$3:$C$100=$F454)*('⚙️Pengaturan'!$D$3:$D$100))</f>
        <v>1300000</v>
      </c>
      <c r="H454" s="70" t="s">
        <v>28</v>
      </c>
      <c r="I454" s="69">
        <v>1000000.0</v>
      </c>
      <c r="J454" s="69">
        <f t="shared" si="1"/>
        <v>300000</v>
      </c>
      <c r="K454" s="71"/>
    </row>
    <row r="455" ht="17.25" customHeight="1">
      <c r="A455" s="61"/>
      <c r="B455" s="63" t="b">
        <v>0</v>
      </c>
      <c r="C455" s="64">
        <v>448.0</v>
      </c>
      <c r="D455" s="65">
        <v>45517.0</v>
      </c>
      <c r="E455" s="67" t="s">
        <v>471</v>
      </c>
      <c r="F455" s="67" t="s">
        <v>53</v>
      </c>
      <c r="G455" s="69">
        <f>SUMPRODUCT(('⚙️Pengaturan'!$C$3:$C$100=$F455)*('⚙️Pengaturan'!$D$3:$D$100))</f>
        <v>650000</v>
      </c>
      <c r="H455" s="70" t="s">
        <v>63</v>
      </c>
      <c r="I455" s="69">
        <v>300000.0</v>
      </c>
      <c r="J455" s="69">
        <f t="shared" si="1"/>
        <v>350000</v>
      </c>
      <c r="K455" s="71"/>
    </row>
    <row r="456" ht="17.25" customHeight="1">
      <c r="A456" s="61"/>
      <c r="B456" s="63" t="b">
        <v>0</v>
      </c>
      <c r="C456" s="64">
        <v>449.0</v>
      </c>
      <c r="D456" s="65">
        <v>45517.0</v>
      </c>
      <c r="E456" s="67" t="s">
        <v>446</v>
      </c>
      <c r="F456" s="67" t="s">
        <v>334</v>
      </c>
      <c r="G456" s="69">
        <f>SUMPRODUCT(('⚙️Pengaturan'!$C$3:$C$100=$F456)*('⚙️Pengaturan'!$D$3:$D$100))</f>
        <v>175000</v>
      </c>
      <c r="H456" s="70" t="s">
        <v>28</v>
      </c>
      <c r="I456" s="69"/>
      <c r="J456" s="69">
        <f t="shared" si="1"/>
        <v>175000</v>
      </c>
      <c r="K456" s="71"/>
    </row>
    <row r="457" ht="17.25" customHeight="1">
      <c r="A457" s="61"/>
      <c r="B457" s="63" t="b">
        <v>0</v>
      </c>
      <c r="C457" s="64">
        <v>450.0</v>
      </c>
      <c r="D457" s="65">
        <v>45517.0</v>
      </c>
      <c r="E457" s="67" t="s">
        <v>479</v>
      </c>
      <c r="F457" s="67" t="s">
        <v>329</v>
      </c>
      <c r="G457" s="69">
        <f>SUMPRODUCT(('⚙️Pengaturan'!$C$3:$C$100=$F457)*('⚙️Pengaturan'!$D$3:$D$100))</f>
        <v>750000</v>
      </c>
      <c r="H457" s="70" t="s">
        <v>28</v>
      </c>
      <c r="I457" s="69">
        <v>350000.0</v>
      </c>
      <c r="J457" s="69">
        <f t="shared" si="1"/>
        <v>400000</v>
      </c>
      <c r="K457" s="71"/>
    </row>
    <row r="458" ht="17.25" customHeight="1">
      <c r="A458" s="205"/>
      <c r="B458" s="206" t="b">
        <v>0</v>
      </c>
      <c r="C458" s="207">
        <v>451.0</v>
      </c>
      <c r="D458" s="208">
        <v>45518.0</v>
      </c>
      <c r="E458" s="209" t="s">
        <v>473</v>
      </c>
      <c r="F458" s="209" t="s">
        <v>332</v>
      </c>
      <c r="G458" s="210">
        <f>SUMPRODUCT(('⚙️Pengaturan'!$C$3:$C$100=$F458)*('⚙️Pengaturan'!$D$3:$D$100))</f>
        <v>1300000</v>
      </c>
      <c r="H458" s="211" t="s">
        <v>28</v>
      </c>
      <c r="I458" s="210">
        <v>300000.0</v>
      </c>
      <c r="J458" s="210">
        <f t="shared" si="1"/>
        <v>1000000</v>
      </c>
      <c r="K458" s="212"/>
    </row>
    <row r="459" ht="17.25" customHeight="1">
      <c r="A459" s="61"/>
      <c r="B459" s="63" t="b">
        <v>0</v>
      </c>
      <c r="C459" s="64">
        <v>452.0</v>
      </c>
      <c r="D459" s="65">
        <v>45518.0</v>
      </c>
      <c r="E459" s="67" t="s">
        <v>480</v>
      </c>
      <c r="F459" s="67" t="s">
        <v>334</v>
      </c>
      <c r="G459" s="69">
        <f>SUMPRODUCT(('⚙️Pengaturan'!$C$3:$C$100=$F459)*('⚙️Pengaturan'!$D$3:$D$100))</f>
        <v>175000</v>
      </c>
      <c r="H459" s="70" t="s">
        <v>28</v>
      </c>
      <c r="I459" s="69"/>
      <c r="J459" s="69">
        <f t="shared" si="1"/>
        <v>175000</v>
      </c>
      <c r="K459" s="71"/>
    </row>
    <row r="460" ht="17.25" customHeight="1">
      <c r="A460" s="205"/>
      <c r="B460" s="206" t="b">
        <v>0</v>
      </c>
      <c r="C460" s="207">
        <v>453.0</v>
      </c>
      <c r="D460" s="208">
        <v>45519.0</v>
      </c>
      <c r="E460" s="209" t="s">
        <v>477</v>
      </c>
      <c r="F460" s="209" t="s">
        <v>334</v>
      </c>
      <c r="G460" s="210">
        <f>SUMPRODUCT(('⚙️Pengaturan'!$C$3:$C$100=$F460)*('⚙️Pengaturan'!$D$3:$D$100))</f>
        <v>175000</v>
      </c>
      <c r="H460" s="211" t="s">
        <v>63</v>
      </c>
      <c r="I460" s="210"/>
      <c r="J460" s="210">
        <f t="shared" si="1"/>
        <v>175000</v>
      </c>
      <c r="K460" s="212"/>
    </row>
    <row r="461" ht="17.25" customHeight="1">
      <c r="A461" s="61"/>
      <c r="B461" s="63" t="b">
        <v>0</v>
      </c>
      <c r="C461" s="64">
        <v>454.0</v>
      </c>
      <c r="D461" s="65">
        <v>45519.0</v>
      </c>
      <c r="E461" s="67" t="s">
        <v>478</v>
      </c>
      <c r="F461" s="67" t="s">
        <v>338</v>
      </c>
      <c r="G461" s="69">
        <f>SUMPRODUCT(('⚙️Pengaturan'!$C$3:$C$100=$F461)*('⚙️Pengaturan'!$D$3:$D$100))</f>
        <v>2000000</v>
      </c>
      <c r="H461" s="70" t="s">
        <v>63</v>
      </c>
      <c r="I461" s="69"/>
      <c r="J461" s="69">
        <f t="shared" si="1"/>
        <v>2000000</v>
      </c>
      <c r="K461" s="71"/>
    </row>
    <row r="462" ht="17.25" customHeight="1">
      <c r="A462" s="61"/>
      <c r="B462" s="63" t="b">
        <v>0</v>
      </c>
      <c r="C462" s="64">
        <v>455.0</v>
      </c>
      <c r="D462" s="65">
        <v>45519.0</v>
      </c>
      <c r="E462" s="67" t="s">
        <v>481</v>
      </c>
      <c r="F462" s="67" t="s">
        <v>336</v>
      </c>
      <c r="G462" s="69">
        <f>SUMPRODUCT(('⚙️Pengaturan'!$C$3:$C$100=$F462)*('⚙️Pengaturan'!$D$3:$D$100))</f>
        <v>225000</v>
      </c>
      <c r="H462" s="70" t="s">
        <v>28</v>
      </c>
      <c r="I462" s="69"/>
      <c r="J462" s="69">
        <f t="shared" si="1"/>
        <v>225000</v>
      </c>
      <c r="K462" s="71"/>
    </row>
    <row r="463" ht="17.25" customHeight="1">
      <c r="A463" s="61"/>
      <c r="B463" s="63" t="b">
        <v>0</v>
      </c>
      <c r="C463" s="64">
        <v>456.0</v>
      </c>
      <c r="D463" s="65">
        <v>45519.0</v>
      </c>
      <c r="E463" s="67" t="s">
        <v>482</v>
      </c>
      <c r="F463" s="67" t="s">
        <v>336</v>
      </c>
      <c r="G463" s="69">
        <f>SUMPRODUCT(('⚙️Pengaturan'!$C$3:$C$100=$F463)*('⚙️Pengaturan'!$D$3:$D$100))</f>
        <v>225000</v>
      </c>
      <c r="H463" s="70" t="s">
        <v>28</v>
      </c>
      <c r="I463" s="69"/>
      <c r="J463" s="69">
        <f t="shared" si="1"/>
        <v>225000</v>
      </c>
      <c r="K463" s="71"/>
    </row>
    <row r="464" ht="17.25" customHeight="1">
      <c r="A464" s="61"/>
      <c r="B464" s="63" t="b">
        <v>0</v>
      </c>
      <c r="C464" s="64">
        <v>457.0</v>
      </c>
      <c r="D464" s="65">
        <v>45519.0</v>
      </c>
      <c r="E464" s="67" t="s">
        <v>455</v>
      </c>
      <c r="F464" s="67" t="s">
        <v>334</v>
      </c>
      <c r="G464" s="69">
        <f>SUMPRODUCT(('⚙️Pengaturan'!$C$3:$C$100=$F464)*('⚙️Pengaturan'!$D$3:$D$100))</f>
        <v>175000</v>
      </c>
      <c r="H464" s="70" t="s">
        <v>28</v>
      </c>
      <c r="I464" s="69"/>
      <c r="J464" s="69">
        <f t="shared" si="1"/>
        <v>175000</v>
      </c>
      <c r="K464" s="71"/>
    </row>
    <row r="465" ht="17.25" customHeight="1">
      <c r="A465" s="61"/>
      <c r="B465" s="63" t="b">
        <v>0</v>
      </c>
      <c r="C465" s="64">
        <v>458.0</v>
      </c>
      <c r="D465" s="65">
        <v>45519.0</v>
      </c>
      <c r="E465" s="67" t="s">
        <v>483</v>
      </c>
      <c r="F465" s="67" t="s">
        <v>334</v>
      </c>
      <c r="G465" s="69">
        <f>SUMPRODUCT(('⚙️Pengaturan'!$C$3:$C$100=$F465)*('⚙️Pengaturan'!$D$3:$D$100))</f>
        <v>175000</v>
      </c>
      <c r="H465" s="70" t="s">
        <v>63</v>
      </c>
      <c r="I465" s="69"/>
      <c r="J465" s="69">
        <f t="shared" si="1"/>
        <v>175000</v>
      </c>
      <c r="K465" s="71"/>
    </row>
    <row r="466" ht="17.25" customHeight="1">
      <c r="A466" s="205"/>
      <c r="B466" s="206" t="b">
        <v>0</v>
      </c>
      <c r="C466" s="207">
        <v>459.0</v>
      </c>
      <c r="D466" s="208">
        <v>45522.0</v>
      </c>
      <c r="E466" s="209" t="s">
        <v>484</v>
      </c>
      <c r="F466" s="209" t="s">
        <v>329</v>
      </c>
      <c r="G466" s="210">
        <f>SUMPRODUCT(('⚙️Pengaturan'!$C$3:$C$100=$F466)*('⚙️Pengaturan'!$D$3:$D$100))</f>
        <v>750000</v>
      </c>
      <c r="H466" s="211" t="s">
        <v>63</v>
      </c>
      <c r="I466" s="210"/>
      <c r="J466" s="210">
        <f t="shared" si="1"/>
        <v>750000</v>
      </c>
      <c r="K466" s="212"/>
    </row>
    <row r="467" ht="17.25" customHeight="1">
      <c r="A467" s="61"/>
      <c r="B467" s="63" t="b">
        <v>0</v>
      </c>
      <c r="C467" s="64">
        <v>460.0</v>
      </c>
      <c r="D467" s="65">
        <v>45522.0</v>
      </c>
      <c r="E467" s="67" t="s">
        <v>485</v>
      </c>
      <c r="F467" s="67" t="s">
        <v>334</v>
      </c>
      <c r="G467" s="69">
        <f>SUMPRODUCT(('⚙️Pengaturan'!$C$3:$C$100=$F467)*('⚙️Pengaturan'!$D$3:$D$100))</f>
        <v>175000</v>
      </c>
      <c r="H467" s="70" t="s">
        <v>28</v>
      </c>
      <c r="I467" s="69">
        <v>55000.0</v>
      </c>
      <c r="J467" s="69">
        <f t="shared" si="1"/>
        <v>120000</v>
      </c>
      <c r="K467" s="71"/>
    </row>
    <row r="468" ht="17.25" customHeight="1">
      <c r="A468" s="205"/>
      <c r="B468" s="206" t="b">
        <v>0</v>
      </c>
      <c r="C468" s="207">
        <v>461.0</v>
      </c>
      <c r="D468" s="208">
        <v>45523.0</v>
      </c>
      <c r="E468" s="209" t="s">
        <v>463</v>
      </c>
      <c r="F468" s="209" t="s">
        <v>332</v>
      </c>
      <c r="G468" s="210">
        <f>SUMPRODUCT(('⚙️Pengaturan'!$C$3:$C$100=$F468)*('⚙️Pengaturan'!$D$3:$D$100))</f>
        <v>1300000</v>
      </c>
      <c r="H468" s="211" t="s">
        <v>28</v>
      </c>
      <c r="I468" s="210">
        <v>800000.0</v>
      </c>
      <c r="J468" s="210">
        <f t="shared" si="1"/>
        <v>500000</v>
      </c>
      <c r="K468" s="212"/>
    </row>
    <row r="469" ht="17.25" customHeight="1">
      <c r="A469" s="61"/>
      <c r="B469" s="63" t="b">
        <v>0</v>
      </c>
      <c r="C469" s="64">
        <v>462.0</v>
      </c>
      <c r="D469" s="65">
        <v>45523.0</v>
      </c>
      <c r="E469" s="67" t="s">
        <v>416</v>
      </c>
      <c r="F469" s="67" t="s">
        <v>67</v>
      </c>
      <c r="G469" s="69">
        <f>SUMPRODUCT(('⚙️Pengaturan'!$C$3:$C$100=$F469)*('⚙️Pengaturan'!$D$3:$D$100))</f>
        <v>1200000</v>
      </c>
      <c r="H469" s="70" t="s">
        <v>63</v>
      </c>
      <c r="I469" s="69"/>
      <c r="J469" s="69">
        <f t="shared" si="1"/>
        <v>1200000</v>
      </c>
      <c r="K469" s="71"/>
    </row>
    <row r="470" ht="17.25" customHeight="1">
      <c r="A470" s="61"/>
      <c r="B470" s="63" t="b">
        <v>0</v>
      </c>
      <c r="C470" s="64">
        <v>463.0</v>
      </c>
      <c r="D470" s="65">
        <v>45523.0</v>
      </c>
      <c r="E470" s="67" t="s">
        <v>479</v>
      </c>
      <c r="F470" s="67" t="s">
        <v>329</v>
      </c>
      <c r="G470" s="69">
        <f>SUMPRODUCT(('⚙️Pengaturan'!$C$3:$C$100=$F470)*('⚙️Pengaturan'!$D$3:$D$100))</f>
        <v>750000</v>
      </c>
      <c r="H470" s="70" t="s">
        <v>28</v>
      </c>
      <c r="I470" s="69">
        <v>400000.0</v>
      </c>
      <c r="J470" s="69">
        <f t="shared" si="1"/>
        <v>350000</v>
      </c>
      <c r="K470" s="71"/>
    </row>
    <row r="471" ht="17.25" customHeight="1">
      <c r="A471" s="61"/>
      <c r="B471" s="63" t="b">
        <v>0</v>
      </c>
      <c r="C471" s="64">
        <v>464.0</v>
      </c>
      <c r="D471" s="65">
        <v>45523.0</v>
      </c>
      <c r="E471" s="67" t="s">
        <v>486</v>
      </c>
      <c r="F471" s="67" t="s">
        <v>334</v>
      </c>
      <c r="G471" s="69">
        <f>SUMPRODUCT(('⚙️Pengaturan'!$C$3:$C$100=$F471)*('⚙️Pengaturan'!$D$3:$D$100))</f>
        <v>175000</v>
      </c>
      <c r="H471" s="70" t="s">
        <v>28</v>
      </c>
      <c r="I471" s="69">
        <v>55000.0</v>
      </c>
      <c r="J471" s="69">
        <f t="shared" si="1"/>
        <v>120000</v>
      </c>
      <c r="K471" s="71"/>
    </row>
    <row r="472" ht="17.25" customHeight="1">
      <c r="A472" s="205"/>
      <c r="B472" s="206" t="b">
        <v>0</v>
      </c>
      <c r="C472" s="207">
        <v>465.0</v>
      </c>
      <c r="D472" s="208">
        <v>45524.0</v>
      </c>
      <c r="E472" s="209" t="s">
        <v>487</v>
      </c>
      <c r="F472" s="209" t="s">
        <v>334</v>
      </c>
      <c r="G472" s="210">
        <f>SUMPRODUCT(('⚙️Pengaturan'!$C$3:$C$100=$F472)*('⚙️Pengaturan'!$D$3:$D$100))</f>
        <v>175000</v>
      </c>
      <c r="H472" s="211" t="s">
        <v>28</v>
      </c>
      <c r="I472" s="210"/>
      <c r="J472" s="210">
        <f t="shared" si="1"/>
        <v>175000</v>
      </c>
      <c r="K472" s="212"/>
    </row>
    <row r="473" ht="17.25" customHeight="1">
      <c r="A473" s="61"/>
      <c r="B473" s="63" t="b">
        <v>0</v>
      </c>
      <c r="C473" s="64">
        <v>466.0</v>
      </c>
      <c r="D473" s="65">
        <v>45524.0</v>
      </c>
      <c r="E473" s="67" t="s">
        <v>432</v>
      </c>
      <c r="F473" s="67" t="s">
        <v>53</v>
      </c>
      <c r="G473" s="69">
        <f>SUMPRODUCT(('⚙️Pengaturan'!$C$3:$C$100=$F473)*('⚙️Pengaturan'!$D$3:$D$100))</f>
        <v>650000</v>
      </c>
      <c r="H473" s="70" t="s">
        <v>28</v>
      </c>
      <c r="I473" s="69">
        <v>500000.0</v>
      </c>
      <c r="J473" s="69">
        <f t="shared" si="1"/>
        <v>150000</v>
      </c>
      <c r="K473" s="71"/>
    </row>
    <row r="474" ht="17.25" customHeight="1">
      <c r="A474" s="61"/>
      <c r="B474" s="63" t="b">
        <v>0</v>
      </c>
      <c r="C474" s="64">
        <v>467.0</v>
      </c>
      <c r="D474" s="65">
        <v>45524.0</v>
      </c>
      <c r="E474" s="67" t="s">
        <v>488</v>
      </c>
      <c r="F474" s="67" t="s">
        <v>334</v>
      </c>
      <c r="G474" s="69">
        <f>SUMPRODUCT(('⚙️Pengaturan'!$C$3:$C$100=$F474)*('⚙️Pengaturan'!$D$3:$D$100))</f>
        <v>175000</v>
      </c>
      <c r="H474" s="70" t="s">
        <v>28</v>
      </c>
      <c r="I474" s="69">
        <v>55000.0</v>
      </c>
      <c r="J474" s="213" t="s">
        <v>489</v>
      </c>
      <c r="K474" s="71"/>
    </row>
    <row r="475" ht="17.25" customHeight="1">
      <c r="A475" s="61"/>
      <c r="B475" s="63" t="b">
        <v>0</v>
      </c>
      <c r="C475" s="64">
        <v>468.0</v>
      </c>
      <c r="D475" s="65">
        <v>45524.0</v>
      </c>
      <c r="E475" s="67" t="s">
        <v>483</v>
      </c>
      <c r="F475" s="67" t="s">
        <v>334</v>
      </c>
      <c r="G475" s="69">
        <f>SUMPRODUCT(('⚙️Pengaturan'!$C$3:$C$100=$F475)*('⚙️Pengaturan'!$D$3:$D$100))</f>
        <v>175000</v>
      </c>
      <c r="H475" s="70" t="s">
        <v>63</v>
      </c>
      <c r="I475" s="69"/>
      <c r="J475" s="69">
        <f t="shared" ref="J475:J1017" si="2">G475-I475</f>
        <v>175000</v>
      </c>
      <c r="K475" s="71"/>
    </row>
    <row r="476" ht="17.25" customHeight="1">
      <c r="A476" s="61"/>
      <c r="B476" s="63" t="b">
        <v>0</v>
      </c>
      <c r="C476" s="64">
        <v>469.0</v>
      </c>
      <c r="D476" s="65">
        <v>45524.0</v>
      </c>
      <c r="E476" s="67" t="s">
        <v>392</v>
      </c>
      <c r="F476" s="67" t="s">
        <v>53</v>
      </c>
      <c r="G476" s="69">
        <f>SUMPRODUCT(('⚙️Pengaturan'!$C$3:$C$100=$F476)*('⚙️Pengaturan'!$D$3:$D$100))</f>
        <v>650000</v>
      </c>
      <c r="H476" s="70" t="s">
        <v>28</v>
      </c>
      <c r="I476" s="69"/>
      <c r="J476" s="69">
        <f t="shared" si="2"/>
        <v>650000</v>
      </c>
      <c r="K476" s="71"/>
    </row>
    <row r="477" ht="17.25" customHeight="1">
      <c r="A477" s="205"/>
      <c r="B477" s="206" t="b">
        <v>0</v>
      </c>
      <c r="C477" s="207">
        <v>470.0</v>
      </c>
      <c r="D477" s="208">
        <v>45526.0</v>
      </c>
      <c r="E477" s="209" t="s">
        <v>490</v>
      </c>
      <c r="F477" s="209" t="s">
        <v>329</v>
      </c>
      <c r="G477" s="210">
        <f>SUMPRODUCT(('⚙️Pengaturan'!$C$3:$C$100=$F477)*('⚙️Pengaturan'!$D$3:$D$100))</f>
        <v>750000</v>
      </c>
      <c r="H477" s="211" t="s">
        <v>63</v>
      </c>
      <c r="I477" s="210">
        <v>200000.0</v>
      </c>
      <c r="J477" s="210">
        <f t="shared" si="2"/>
        <v>550000</v>
      </c>
      <c r="K477" s="212"/>
    </row>
    <row r="478" ht="17.25" customHeight="1">
      <c r="A478" s="61"/>
      <c r="B478" s="63" t="b">
        <v>0</v>
      </c>
      <c r="C478" s="64">
        <v>471.0</v>
      </c>
      <c r="D478" s="65">
        <v>45526.0</v>
      </c>
      <c r="E478" s="67" t="s">
        <v>490</v>
      </c>
      <c r="F478" s="67" t="s">
        <v>329</v>
      </c>
      <c r="G478" s="69">
        <f>SUMPRODUCT(('⚙️Pengaturan'!$C$3:$C$100=$F478)*('⚙️Pengaturan'!$D$3:$D$100))</f>
        <v>750000</v>
      </c>
      <c r="H478" s="70" t="s">
        <v>28</v>
      </c>
      <c r="I478" s="69">
        <v>550000.0</v>
      </c>
      <c r="J478" s="69">
        <f t="shared" si="2"/>
        <v>200000</v>
      </c>
      <c r="K478" s="71"/>
    </row>
    <row r="479" ht="17.25" customHeight="1">
      <c r="A479" s="61"/>
      <c r="B479" s="63" t="b">
        <v>0</v>
      </c>
      <c r="C479" s="64">
        <v>472.0</v>
      </c>
      <c r="D479" s="65">
        <v>45526.0</v>
      </c>
      <c r="E479" s="67" t="s">
        <v>491</v>
      </c>
      <c r="F479" s="67" t="s">
        <v>329</v>
      </c>
      <c r="G479" s="69">
        <f>SUMPRODUCT(('⚙️Pengaturan'!$C$3:$C$100=$F479)*('⚙️Pengaturan'!$D$3:$D$100))</f>
        <v>750000</v>
      </c>
      <c r="H479" s="70" t="s">
        <v>28</v>
      </c>
      <c r="I479" s="69">
        <v>400000.0</v>
      </c>
      <c r="J479" s="69">
        <f t="shared" si="2"/>
        <v>350000</v>
      </c>
      <c r="K479" s="71"/>
    </row>
    <row r="480" ht="17.25" customHeight="1">
      <c r="A480" s="61"/>
      <c r="B480" s="63" t="b">
        <v>0</v>
      </c>
      <c r="C480" s="64">
        <v>473.0</v>
      </c>
      <c r="D480" s="65">
        <v>45526.0</v>
      </c>
      <c r="E480" s="67" t="s">
        <v>492</v>
      </c>
      <c r="F480" s="67" t="s">
        <v>334</v>
      </c>
      <c r="G480" s="69">
        <f>SUMPRODUCT(('⚙️Pengaturan'!$C$3:$C$100=$F480)*('⚙️Pengaturan'!$D$3:$D$100))</f>
        <v>175000</v>
      </c>
      <c r="H480" s="70" t="s">
        <v>63</v>
      </c>
      <c r="I480" s="69"/>
      <c r="J480" s="69">
        <f t="shared" si="2"/>
        <v>175000</v>
      </c>
      <c r="K480" s="71"/>
    </row>
    <row r="481" ht="17.25" customHeight="1">
      <c r="A481" s="205"/>
      <c r="B481" s="206" t="b">
        <v>0</v>
      </c>
      <c r="C481" s="207">
        <v>474.0</v>
      </c>
      <c r="D481" s="208">
        <v>45528.0</v>
      </c>
      <c r="E481" s="209" t="s">
        <v>477</v>
      </c>
      <c r="F481" s="209" t="s">
        <v>334</v>
      </c>
      <c r="G481" s="210">
        <f>SUMPRODUCT(('⚙️Pengaturan'!$C$3:$C$100=$F481)*('⚙️Pengaturan'!$D$3:$D$100))</f>
        <v>175000</v>
      </c>
      <c r="H481" s="211" t="s">
        <v>28</v>
      </c>
      <c r="I481" s="210"/>
      <c r="J481" s="210">
        <f t="shared" si="2"/>
        <v>175000</v>
      </c>
      <c r="K481" s="212"/>
    </row>
    <row r="482" ht="17.25" customHeight="1">
      <c r="A482" s="61"/>
      <c r="B482" s="63" t="b">
        <v>0</v>
      </c>
      <c r="C482" s="64">
        <v>475.0</v>
      </c>
      <c r="D482" s="65">
        <v>45528.0</v>
      </c>
      <c r="E482" s="67" t="s">
        <v>493</v>
      </c>
      <c r="F482" s="67" t="s">
        <v>334</v>
      </c>
      <c r="G482" s="69">
        <f>SUMPRODUCT(('⚙️Pengaturan'!$C$3:$C$100=$F482)*('⚙️Pengaturan'!$D$3:$D$100))</f>
        <v>175000</v>
      </c>
      <c r="H482" s="70" t="s">
        <v>63</v>
      </c>
      <c r="I482" s="69"/>
      <c r="J482" s="69">
        <f t="shared" si="2"/>
        <v>175000</v>
      </c>
      <c r="K482" s="71"/>
    </row>
    <row r="483" ht="17.25" customHeight="1">
      <c r="A483" s="61"/>
      <c r="B483" s="63" t="b">
        <v>0</v>
      </c>
      <c r="C483" s="64">
        <v>476.0</v>
      </c>
      <c r="D483" s="65">
        <v>45528.0</v>
      </c>
      <c r="E483" s="67" t="s">
        <v>494</v>
      </c>
      <c r="F483" s="67" t="s">
        <v>334</v>
      </c>
      <c r="G483" s="69">
        <f>SUMPRODUCT(('⚙️Pengaturan'!$C$3:$C$100=$F483)*('⚙️Pengaturan'!$D$3:$D$100))</f>
        <v>175000</v>
      </c>
      <c r="H483" s="70" t="s">
        <v>63</v>
      </c>
      <c r="I483" s="69"/>
      <c r="J483" s="69">
        <f t="shared" si="2"/>
        <v>175000</v>
      </c>
      <c r="K483" s="71"/>
    </row>
    <row r="484" ht="17.25" customHeight="1">
      <c r="A484" s="61"/>
      <c r="B484" s="63" t="b">
        <v>0</v>
      </c>
      <c r="C484" s="64">
        <v>477.0</v>
      </c>
      <c r="D484" s="65">
        <v>45528.0</v>
      </c>
      <c r="E484" s="67" t="s">
        <v>494</v>
      </c>
      <c r="F484" s="67" t="s">
        <v>329</v>
      </c>
      <c r="G484" s="69">
        <f>SUMPRODUCT(('⚙️Pengaturan'!$C$3:$C$100=$F484)*('⚙️Pengaturan'!$D$3:$D$100))</f>
        <v>750000</v>
      </c>
      <c r="H484" s="70" t="s">
        <v>63</v>
      </c>
      <c r="I484" s="69"/>
      <c r="J484" s="69">
        <f t="shared" si="2"/>
        <v>750000</v>
      </c>
      <c r="K484" s="71"/>
    </row>
    <row r="485" ht="17.25" customHeight="1">
      <c r="A485" s="205"/>
      <c r="B485" s="206" t="b">
        <v>0</v>
      </c>
      <c r="C485" s="207">
        <v>478.0</v>
      </c>
      <c r="D485" s="208">
        <v>45529.0</v>
      </c>
      <c r="E485" s="209" t="s">
        <v>465</v>
      </c>
      <c r="F485" s="209" t="s">
        <v>329</v>
      </c>
      <c r="G485" s="210">
        <f>SUMPRODUCT(('⚙️Pengaturan'!$C$3:$C$100=$F485)*('⚙️Pengaturan'!$D$3:$D$100))</f>
        <v>750000</v>
      </c>
      <c r="H485" s="211" t="s">
        <v>63</v>
      </c>
      <c r="I485" s="210"/>
      <c r="J485" s="210">
        <f t="shared" si="2"/>
        <v>750000</v>
      </c>
      <c r="K485" s="212"/>
    </row>
    <row r="486" ht="17.25" customHeight="1">
      <c r="A486" s="205"/>
      <c r="B486" s="206" t="b">
        <v>0</v>
      </c>
      <c r="C486" s="207">
        <v>479.0</v>
      </c>
      <c r="D486" s="208">
        <v>45530.0</v>
      </c>
      <c r="E486" s="209" t="s">
        <v>495</v>
      </c>
      <c r="F486" s="209" t="s">
        <v>329</v>
      </c>
      <c r="G486" s="210">
        <f>SUMPRODUCT(('⚙️Pengaturan'!$C$3:$C$100=$F486)*('⚙️Pengaturan'!$D$3:$D$100))</f>
        <v>750000</v>
      </c>
      <c r="H486" s="211" t="s">
        <v>63</v>
      </c>
      <c r="I486" s="210"/>
      <c r="J486" s="210">
        <f t="shared" si="2"/>
        <v>750000</v>
      </c>
      <c r="K486" s="212"/>
    </row>
    <row r="487" ht="17.25" customHeight="1">
      <c r="A487" s="61"/>
      <c r="B487" s="63" t="b">
        <v>0</v>
      </c>
      <c r="C487" s="64">
        <v>480.0</v>
      </c>
      <c r="D487" s="65">
        <v>45530.0</v>
      </c>
      <c r="E487" s="67" t="s">
        <v>261</v>
      </c>
      <c r="F487" s="67" t="s">
        <v>44</v>
      </c>
      <c r="G487" s="69">
        <f>SUMPRODUCT(('⚙️Pengaturan'!$C$3:$C$100=$F487)*('⚙️Pengaturan'!$D$3:$D$100))</f>
        <v>150000</v>
      </c>
      <c r="H487" s="70" t="s">
        <v>63</v>
      </c>
      <c r="I487" s="69"/>
      <c r="J487" s="69">
        <f t="shared" si="2"/>
        <v>150000</v>
      </c>
      <c r="K487" s="71"/>
    </row>
    <row r="488" ht="17.25" customHeight="1">
      <c r="A488" s="61"/>
      <c r="B488" s="63" t="b">
        <v>0</v>
      </c>
      <c r="C488" s="64">
        <v>481.0</v>
      </c>
      <c r="D488" s="65">
        <v>45530.0</v>
      </c>
      <c r="E488" s="67" t="s">
        <v>496</v>
      </c>
      <c r="F488" s="67" t="s">
        <v>334</v>
      </c>
      <c r="G488" s="69">
        <f>SUMPRODUCT(('⚙️Pengaturan'!$C$3:$C$100=$F488)*('⚙️Pengaturan'!$D$3:$D$100))</f>
        <v>175000</v>
      </c>
      <c r="H488" s="70" t="s">
        <v>28</v>
      </c>
      <c r="I488" s="69"/>
      <c r="J488" s="69">
        <f t="shared" si="2"/>
        <v>175000</v>
      </c>
      <c r="K488" s="71"/>
    </row>
    <row r="489" ht="17.25" customHeight="1">
      <c r="A489" s="205"/>
      <c r="B489" s="206" t="b">
        <v>0</v>
      </c>
      <c r="C489" s="207">
        <v>482.0</v>
      </c>
      <c r="D489" s="208">
        <v>45531.0</v>
      </c>
      <c r="E489" s="209" t="s">
        <v>491</v>
      </c>
      <c r="F489" s="209" t="s">
        <v>329</v>
      </c>
      <c r="G489" s="210">
        <f>SUMPRODUCT(('⚙️Pengaturan'!$C$3:$C$100=$F489)*('⚙️Pengaturan'!$D$3:$D$100))</f>
        <v>750000</v>
      </c>
      <c r="H489" s="211" t="s">
        <v>28</v>
      </c>
      <c r="I489" s="210">
        <v>350000.0</v>
      </c>
      <c r="J489" s="210">
        <f t="shared" si="2"/>
        <v>400000</v>
      </c>
      <c r="K489" s="212"/>
    </row>
    <row r="490" ht="17.25" customHeight="1">
      <c r="A490" s="61"/>
      <c r="B490" s="63" t="b">
        <v>0</v>
      </c>
      <c r="C490" s="64">
        <v>483.0</v>
      </c>
      <c r="D490" s="65">
        <v>45531.0</v>
      </c>
      <c r="E490" s="67" t="s">
        <v>497</v>
      </c>
      <c r="F490" s="67" t="s">
        <v>329</v>
      </c>
      <c r="G490" s="69">
        <f>SUMPRODUCT(('⚙️Pengaturan'!$C$3:$C$100=$F490)*('⚙️Pengaturan'!$D$3:$D$100))</f>
        <v>750000</v>
      </c>
      <c r="H490" s="70" t="s">
        <v>28</v>
      </c>
      <c r="I490" s="69"/>
      <c r="J490" s="69">
        <f t="shared" si="2"/>
        <v>750000</v>
      </c>
      <c r="K490" s="71"/>
    </row>
    <row r="491" ht="17.25" customHeight="1">
      <c r="A491" s="61"/>
      <c r="B491" s="63" t="b">
        <v>0</v>
      </c>
      <c r="C491" s="64">
        <v>484.0</v>
      </c>
      <c r="D491" s="65">
        <v>45531.0</v>
      </c>
      <c r="E491" s="67" t="s">
        <v>498</v>
      </c>
      <c r="F491" s="67" t="s">
        <v>334</v>
      </c>
      <c r="G491" s="69">
        <f>SUMPRODUCT(('⚙️Pengaturan'!$C$3:$C$100=$F491)*('⚙️Pengaturan'!$D$3:$D$100))</f>
        <v>175000</v>
      </c>
      <c r="H491" s="70" t="s">
        <v>28</v>
      </c>
      <c r="I491" s="69"/>
      <c r="J491" s="69">
        <f t="shared" si="2"/>
        <v>175000</v>
      </c>
      <c r="K491" s="71"/>
    </row>
    <row r="492" ht="17.25" customHeight="1">
      <c r="A492" s="61"/>
      <c r="B492" s="63" t="b">
        <v>0</v>
      </c>
      <c r="C492" s="64">
        <v>485.0</v>
      </c>
      <c r="D492" s="65">
        <v>45532.0</v>
      </c>
      <c r="E492" s="67" t="s">
        <v>499</v>
      </c>
      <c r="F492" s="67" t="s">
        <v>329</v>
      </c>
      <c r="G492" s="69">
        <f>SUMPRODUCT(('⚙️Pengaturan'!$C$3:$C$100=$F492)*('⚙️Pengaturan'!$D$3:$D$100))</f>
        <v>750000</v>
      </c>
      <c r="H492" s="70" t="s">
        <v>28</v>
      </c>
      <c r="I492" s="69"/>
      <c r="J492" s="69">
        <f t="shared" si="2"/>
        <v>750000</v>
      </c>
      <c r="K492" s="71"/>
    </row>
    <row r="493" ht="17.25" customHeight="1">
      <c r="A493" s="61"/>
      <c r="B493" s="63" t="b">
        <v>0</v>
      </c>
      <c r="C493" s="64">
        <v>486.0</v>
      </c>
      <c r="D493" s="65">
        <v>45532.0</v>
      </c>
      <c r="E493" s="67" t="s">
        <v>493</v>
      </c>
      <c r="F493" s="67" t="s">
        <v>329</v>
      </c>
      <c r="G493" s="69">
        <f>SUMPRODUCT(('⚙️Pengaturan'!$C$3:$C$100=$F493)*('⚙️Pengaturan'!$D$3:$D$100))</f>
        <v>750000</v>
      </c>
      <c r="H493" s="70" t="s">
        <v>63</v>
      </c>
      <c r="I493" s="69"/>
      <c r="J493" s="69">
        <f t="shared" si="2"/>
        <v>750000</v>
      </c>
      <c r="K493" s="71"/>
    </row>
    <row r="494" ht="17.25" customHeight="1">
      <c r="A494" s="205"/>
      <c r="B494" s="206" t="b">
        <v>0</v>
      </c>
      <c r="C494" s="207">
        <v>487.0</v>
      </c>
      <c r="D494" s="208">
        <v>45535.0</v>
      </c>
      <c r="E494" s="209" t="s">
        <v>500</v>
      </c>
      <c r="F494" s="209" t="s">
        <v>334</v>
      </c>
      <c r="G494" s="210">
        <f>SUMPRODUCT(('⚙️Pengaturan'!$C$3:$C$100=$F494)*('⚙️Pengaturan'!$D$3:$D$100))</f>
        <v>175000</v>
      </c>
      <c r="H494" s="211" t="s">
        <v>28</v>
      </c>
      <c r="I494" s="210"/>
      <c r="J494" s="210">
        <f t="shared" si="2"/>
        <v>175000</v>
      </c>
      <c r="K494" s="212"/>
    </row>
    <row r="495" ht="17.25" customHeight="1">
      <c r="A495" s="61"/>
      <c r="B495" s="63" t="b">
        <v>0</v>
      </c>
      <c r="C495" s="64">
        <v>488.0</v>
      </c>
      <c r="D495" s="65">
        <v>45535.0</v>
      </c>
      <c r="E495" s="67" t="s">
        <v>501</v>
      </c>
      <c r="F495" s="67" t="s">
        <v>329</v>
      </c>
      <c r="G495" s="69">
        <f>SUMPRODUCT(('⚙️Pengaturan'!$C$3:$C$100=$F495)*('⚙️Pengaturan'!$D$3:$D$100))</f>
        <v>750000</v>
      </c>
      <c r="H495" s="70" t="s">
        <v>28</v>
      </c>
      <c r="I495" s="69"/>
      <c r="J495" s="69">
        <f t="shared" si="2"/>
        <v>750000</v>
      </c>
      <c r="K495" s="71"/>
    </row>
    <row r="496" ht="17.25" customHeight="1">
      <c r="A496" s="205"/>
      <c r="B496" s="206" t="b">
        <v>0</v>
      </c>
      <c r="C496" s="207">
        <v>489.0</v>
      </c>
      <c r="D496" s="208">
        <v>45536.0</v>
      </c>
      <c r="E496" s="209" t="s">
        <v>461</v>
      </c>
      <c r="F496" s="209" t="s">
        <v>334</v>
      </c>
      <c r="G496" s="210">
        <f>SUMPRODUCT(('⚙️Pengaturan'!$C$3:$C$100=$F496)*('⚙️Pengaturan'!$D$3:$D$100))</f>
        <v>175000</v>
      </c>
      <c r="H496" s="211" t="s">
        <v>63</v>
      </c>
      <c r="I496" s="210"/>
      <c r="J496" s="210">
        <f t="shared" si="2"/>
        <v>175000</v>
      </c>
      <c r="K496" s="212"/>
    </row>
    <row r="497" ht="17.25" customHeight="1">
      <c r="A497" s="205"/>
      <c r="B497" s="206" t="b">
        <v>0</v>
      </c>
      <c r="C497" s="207">
        <v>490.0</v>
      </c>
      <c r="D497" s="208">
        <v>45538.0</v>
      </c>
      <c r="E497" s="209" t="s">
        <v>502</v>
      </c>
      <c r="F497" s="209" t="s">
        <v>338</v>
      </c>
      <c r="G497" s="210">
        <f>SUMPRODUCT(('⚙️Pengaturan'!$C$3:$C$100=$F497)*('⚙️Pengaturan'!$D$3:$D$100))</f>
        <v>2000000</v>
      </c>
      <c r="H497" s="211" t="s">
        <v>28</v>
      </c>
      <c r="I497" s="210">
        <v>1500000.0</v>
      </c>
      <c r="J497" s="210">
        <f t="shared" si="2"/>
        <v>500000</v>
      </c>
      <c r="K497" s="212"/>
    </row>
    <row r="498" ht="17.25" customHeight="1">
      <c r="A498" s="61"/>
      <c r="B498" s="63" t="b">
        <v>0</v>
      </c>
      <c r="C498" s="64">
        <v>491.0</v>
      </c>
      <c r="D498" s="65">
        <v>45538.0</v>
      </c>
      <c r="E498" s="67" t="s">
        <v>503</v>
      </c>
      <c r="F498" s="67" t="s">
        <v>331</v>
      </c>
      <c r="G498" s="69">
        <f>SUMPRODUCT(('⚙️Pengaturan'!$C$3:$C$100=$F498)*('⚙️Pengaturan'!$D$3:$D$100))</f>
        <v>1400000</v>
      </c>
      <c r="H498" s="70" t="s">
        <v>63</v>
      </c>
      <c r="I498" s="69"/>
      <c r="J498" s="69">
        <f t="shared" si="2"/>
        <v>1400000</v>
      </c>
      <c r="K498" s="71"/>
    </row>
    <row r="499" ht="17.25" customHeight="1">
      <c r="A499" s="205"/>
      <c r="B499" s="206" t="b">
        <v>0</v>
      </c>
      <c r="C499" s="207">
        <v>492.0</v>
      </c>
      <c r="D499" s="208">
        <v>45539.0</v>
      </c>
      <c r="E499" s="209" t="s">
        <v>450</v>
      </c>
      <c r="F499" s="209" t="s">
        <v>334</v>
      </c>
      <c r="G499" s="210">
        <f>SUMPRODUCT(('⚙️Pengaturan'!$C$3:$C$100=$F499)*('⚙️Pengaturan'!$D$3:$D$100))</f>
        <v>175000</v>
      </c>
      <c r="H499" s="211" t="s">
        <v>28</v>
      </c>
      <c r="I499" s="210"/>
      <c r="J499" s="210">
        <f t="shared" si="2"/>
        <v>175000</v>
      </c>
      <c r="K499" s="212"/>
    </row>
    <row r="500" ht="17.25" customHeight="1">
      <c r="A500" s="61"/>
      <c r="B500" s="63" t="b">
        <v>0</v>
      </c>
      <c r="C500" s="64">
        <v>493.0</v>
      </c>
      <c r="D500" s="65">
        <v>45539.0</v>
      </c>
      <c r="E500" s="67" t="s">
        <v>500</v>
      </c>
      <c r="F500" s="67" t="s">
        <v>334</v>
      </c>
      <c r="G500" s="69">
        <f>SUMPRODUCT(('⚙️Pengaturan'!$C$3:$C$100=$F500)*('⚙️Pengaturan'!$D$3:$D$100))</f>
        <v>175000</v>
      </c>
      <c r="H500" s="70" t="s">
        <v>28</v>
      </c>
      <c r="I500" s="69"/>
      <c r="J500" s="69">
        <f t="shared" si="2"/>
        <v>175000</v>
      </c>
      <c r="K500" s="71"/>
    </row>
    <row r="501" ht="17.25" customHeight="1">
      <c r="A501" s="61"/>
      <c r="B501" s="63" t="b">
        <v>0</v>
      </c>
      <c r="C501" s="64">
        <v>494.0</v>
      </c>
      <c r="D501" s="65">
        <v>45539.0</v>
      </c>
      <c r="E501" s="67" t="s">
        <v>504</v>
      </c>
      <c r="F501" s="67" t="s">
        <v>334</v>
      </c>
      <c r="G501" s="69">
        <f>SUMPRODUCT(('⚙️Pengaturan'!$C$3:$C$100=$F501)*('⚙️Pengaturan'!$D$3:$D$100))</f>
        <v>175000</v>
      </c>
      <c r="H501" s="70" t="s">
        <v>28</v>
      </c>
      <c r="I501" s="69"/>
      <c r="J501" s="69">
        <f t="shared" si="2"/>
        <v>175000</v>
      </c>
      <c r="K501" s="71"/>
    </row>
    <row r="502" ht="17.25" customHeight="1">
      <c r="A502" s="205"/>
      <c r="B502" s="206" t="b">
        <v>0</v>
      </c>
      <c r="C502" s="207">
        <v>495.0</v>
      </c>
      <c r="D502" s="208">
        <v>45540.0</v>
      </c>
      <c r="E502" s="209" t="s">
        <v>505</v>
      </c>
      <c r="F502" s="209" t="s">
        <v>334</v>
      </c>
      <c r="G502" s="210">
        <f>SUMPRODUCT(('⚙️Pengaturan'!$C$3:$C$100=$F502)*('⚙️Pengaturan'!$D$3:$D$100))</f>
        <v>175000</v>
      </c>
      <c r="H502" s="211" t="s">
        <v>28</v>
      </c>
      <c r="I502" s="210"/>
      <c r="J502" s="210">
        <f t="shared" si="2"/>
        <v>175000</v>
      </c>
      <c r="K502" s="212"/>
    </row>
    <row r="503" ht="17.25" customHeight="1">
      <c r="A503" s="61"/>
      <c r="B503" s="63" t="b">
        <v>0</v>
      </c>
      <c r="C503" s="64">
        <v>496.0</v>
      </c>
      <c r="D503" s="65">
        <v>45540.0</v>
      </c>
      <c r="E503" s="67" t="s">
        <v>392</v>
      </c>
      <c r="F503" s="67" t="s">
        <v>44</v>
      </c>
      <c r="G503" s="69">
        <f>SUMPRODUCT(('⚙️Pengaturan'!$C$3:$C$100=$F503)*('⚙️Pengaturan'!$D$3:$D$100))</f>
        <v>150000</v>
      </c>
      <c r="H503" s="70" t="s">
        <v>28</v>
      </c>
      <c r="I503" s="69"/>
      <c r="J503" s="69">
        <f t="shared" si="2"/>
        <v>150000</v>
      </c>
      <c r="K503" s="71"/>
    </row>
    <row r="504" ht="17.25" customHeight="1">
      <c r="A504" s="61"/>
      <c r="B504" s="63" t="b">
        <v>0</v>
      </c>
      <c r="C504" s="64">
        <v>497.0</v>
      </c>
      <c r="D504" s="65">
        <v>45540.0</v>
      </c>
      <c r="E504" s="67" t="s">
        <v>506</v>
      </c>
      <c r="F504" s="67" t="s">
        <v>329</v>
      </c>
      <c r="G504" s="69">
        <f>SUMPRODUCT(('⚙️Pengaturan'!$C$3:$C$100=$F504)*('⚙️Pengaturan'!$D$3:$D$100))</f>
        <v>750000</v>
      </c>
      <c r="H504" s="70" t="s">
        <v>63</v>
      </c>
      <c r="I504" s="69"/>
      <c r="J504" s="69">
        <f t="shared" si="2"/>
        <v>750000</v>
      </c>
      <c r="K504" s="71"/>
    </row>
    <row r="505" ht="17.25" customHeight="1">
      <c r="A505" s="61"/>
      <c r="B505" s="63" t="b">
        <v>0</v>
      </c>
      <c r="C505" s="64">
        <v>498.0</v>
      </c>
      <c r="D505" s="65">
        <v>45540.0</v>
      </c>
      <c r="E505" s="67" t="s">
        <v>507</v>
      </c>
      <c r="F505" s="67" t="s">
        <v>44</v>
      </c>
      <c r="G505" s="69">
        <f>SUMPRODUCT(('⚙️Pengaturan'!$C$3:$C$100=$F505)*('⚙️Pengaturan'!$D$3:$D$100))</f>
        <v>150000</v>
      </c>
      <c r="H505" s="70" t="s">
        <v>28</v>
      </c>
      <c r="I505" s="69"/>
      <c r="J505" s="69">
        <f t="shared" si="2"/>
        <v>150000</v>
      </c>
      <c r="K505" s="71"/>
    </row>
    <row r="506" ht="17.25" customHeight="1">
      <c r="A506" s="205"/>
      <c r="B506" s="206" t="b">
        <v>0</v>
      </c>
      <c r="C506" s="207">
        <v>499.0</v>
      </c>
      <c r="D506" s="208">
        <v>45542.0</v>
      </c>
      <c r="E506" s="209" t="s">
        <v>375</v>
      </c>
      <c r="F506" s="209" t="s">
        <v>334</v>
      </c>
      <c r="G506" s="210">
        <f>SUMPRODUCT(('⚙️Pengaturan'!$C$3:$C$100=$F506)*('⚙️Pengaturan'!$D$3:$D$100))</f>
        <v>175000</v>
      </c>
      <c r="H506" s="211" t="s">
        <v>28</v>
      </c>
      <c r="I506" s="210"/>
      <c r="J506" s="210">
        <f t="shared" si="2"/>
        <v>175000</v>
      </c>
      <c r="K506" s="212"/>
    </row>
    <row r="507" ht="17.25" customHeight="1">
      <c r="A507" s="61"/>
      <c r="B507" s="63" t="b">
        <v>0</v>
      </c>
      <c r="C507" s="64">
        <v>500.0</v>
      </c>
      <c r="D507" s="65">
        <v>45542.0</v>
      </c>
      <c r="E507" s="67" t="s">
        <v>502</v>
      </c>
      <c r="F507" s="67" t="s">
        <v>338</v>
      </c>
      <c r="G507" s="69">
        <f>SUMPRODUCT(('⚙️Pengaturan'!$C$3:$C$100=$F507)*('⚙️Pengaturan'!$D$3:$D$100))</f>
        <v>2000000</v>
      </c>
      <c r="H507" s="70" t="s">
        <v>28</v>
      </c>
      <c r="I507" s="69">
        <v>1500000.0</v>
      </c>
      <c r="J507" s="69">
        <f t="shared" si="2"/>
        <v>500000</v>
      </c>
      <c r="K507" s="71"/>
    </row>
    <row r="508" ht="17.25" customHeight="1">
      <c r="A508" s="61"/>
      <c r="B508" s="63" t="b">
        <v>0</v>
      </c>
      <c r="C508" s="64">
        <v>501.0</v>
      </c>
      <c r="D508" s="65">
        <v>45542.0</v>
      </c>
      <c r="E508" s="67" t="s">
        <v>508</v>
      </c>
      <c r="F508" s="67" t="s">
        <v>329</v>
      </c>
      <c r="G508" s="69">
        <f>SUMPRODUCT(('⚙️Pengaturan'!$C$3:$C$100=$F508)*('⚙️Pengaturan'!$D$3:$D$100))</f>
        <v>750000</v>
      </c>
      <c r="H508" s="70" t="s">
        <v>63</v>
      </c>
      <c r="I508" s="69"/>
      <c r="J508" s="69">
        <f t="shared" si="2"/>
        <v>750000</v>
      </c>
      <c r="K508" s="71"/>
    </row>
    <row r="509" ht="17.25" customHeight="1">
      <c r="A509" s="61"/>
      <c r="B509" s="63" t="b">
        <v>0</v>
      </c>
      <c r="C509" s="64">
        <v>502.0</v>
      </c>
      <c r="D509" s="65">
        <v>45542.0</v>
      </c>
      <c r="E509" s="67" t="s">
        <v>504</v>
      </c>
      <c r="F509" s="67" t="s">
        <v>334</v>
      </c>
      <c r="G509" s="69">
        <f>SUMPRODUCT(('⚙️Pengaturan'!$C$3:$C$100=$F509)*('⚙️Pengaturan'!$D$3:$D$100))</f>
        <v>175000</v>
      </c>
      <c r="H509" s="70" t="s">
        <v>28</v>
      </c>
      <c r="I509" s="69"/>
      <c r="J509" s="69">
        <f t="shared" si="2"/>
        <v>175000</v>
      </c>
      <c r="K509" s="71"/>
    </row>
    <row r="510" ht="17.25" customHeight="1">
      <c r="A510" s="205"/>
      <c r="B510" s="206" t="b">
        <v>0</v>
      </c>
      <c r="C510" s="207">
        <v>503.0</v>
      </c>
      <c r="D510" s="208">
        <v>45543.0</v>
      </c>
      <c r="E510" s="209" t="s">
        <v>509</v>
      </c>
      <c r="F510" s="209" t="s">
        <v>334</v>
      </c>
      <c r="G510" s="210">
        <f>SUMPRODUCT(('⚙️Pengaturan'!$C$3:$C$100=$F510)*('⚙️Pengaturan'!$D$3:$D$100))</f>
        <v>175000</v>
      </c>
      <c r="H510" s="211" t="s">
        <v>28</v>
      </c>
      <c r="I510" s="210"/>
      <c r="J510" s="210">
        <f t="shared" si="2"/>
        <v>175000</v>
      </c>
      <c r="K510" s="212"/>
    </row>
    <row r="511" ht="17.25" customHeight="1">
      <c r="A511" s="61"/>
      <c r="B511" s="63" t="b">
        <v>0</v>
      </c>
      <c r="C511" s="64">
        <v>504.0</v>
      </c>
      <c r="D511" s="65">
        <v>45543.0</v>
      </c>
      <c r="E511" s="67" t="s">
        <v>510</v>
      </c>
      <c r="F511" s="67" t="s">
        <v>338</v>
      </c>
      <c r="G511" s="69">
        <f>SUMPRODUCT(('⚙️Pengaturan'!$C$3:$C$100=$F511)*('⚙️Pengaturan'!$D$3:$D$100))</f>
        <v>2000000</v>
      </c>
      <c r="H511" s="70" t="s">
        <v>63</v>
      </c>
      <c r="I511" s="69"/>
      <c r="J511" s="69">
        <f t="shared" si="2"/>
        <v>2000000</v>
      </c>
      <c r="K511" s="71"/>
    </row>
    <row r="512" ht="17.25" customHeight="1">
      <c r="A512" s="61"/>
      <c r="B512" s="63" t="b">
        <v>0</v>
      </c>
      <c r="C512" s="64">
        <v>505.0</v>
      </c>
      <c r="D512" s="65">
        <v>45543.0</v>
      </c>
      <c r="E512" s="67" t="s">
        <v>511</v>
      </c>
      <c r="F512" s="67" t="s">
        <v>338</v>
      </c>
      <c r="G512" s="69">
        <f>SUMPRODUCT(('⚙️Pengaturan'!$C$3:$C$100=$F512)*('⚙️Pengaturan'!$D$3:$D$100))</f>
        <v>2000000</v>
      </c>
      <c r="H512" s="70" t="s">
        <v>63</v>
      </c>
      <c r="I512" s="69"/>
      <c r="J512" s="69">
        <f t="shared" si="2"/>
        <v>2000000</v>
      </c>
      <c r="K512" s="71"/>
    </row>
    <row r="513" ht="17.25" customHeight="1">
      <c r="A513" s="205"/>
      <c r="B513" s="206" t="b">
        <v>0</v>
      </c>
      <c r="C513" s="207">
        <v>506.0</v>
      </c>
      <c r="D513" s="208">
        <v>45544.0</v>
      </c>
      <c r="E513" s="209" t="s">
        <v>512</v>
      </c>
      <c r="F513" s="209" t="s">
        <v>334</v>
      </c>
      <c r="G513" s="210">
        <f>SUMPRODUCT(('⚙️Pengaturan'!$C$3:$C$100=$F513)*('⚙️Pengaturan'!$D$3:$D$100))</f>
        <v>175000</v>
      </c>
      <c r="H513" s="211" t="s">
        <v>28</v>
      </c>
      <c r="I513" s="210"/>
      <c r="J513" s="210">
        <f t="shared" si="2"/>
        <v>175000</v>
      </c>
      <c r="K513" s="212"/>
    </row>
    <row r="514" ht="17.25" customHeight="1">
      <c r="A514" s="205"/>
      <c r="B514" s="206" t="b">
        <v>0</v>
      </c>
      <c r="C514" s="207">
        <v>507.0</v>
      </c>
      <c r="D514" s="208">
        <v>45545.0</v>
      </c>
      <c r="E514" s="209" t="s">
        <v>392</v>
      </c>
      <c r="F514" s="209" t="s">
        <v>44</v>
      </c>
      <c r="G514" s="210">
        <f>SUMPRODUCT(('⚙️Pengaturan'!$C$3:$C$100=$F514)*('⚙️Pengaturan'!$D$3:$D$100))</f>
        <v>150000</v>
      </c>
      <c r="H514" s="211" t="s">
        <v>28</v>
      </c>
      <c r="I514" s="210"/>
      <c r="J514" s="210">
        <f t="shared" si="2"/>
        <v>150000</v>
      </c>
      <c r="K514" s="212"/>
    </row>
    <row r="515" ht="17.25" customHeight="1">
      <c r="A515" s="61"/>
      <c r="B515" s="63" t="b">
        <v>0</v>
      </c>
      <c r="C515" s="64">
        <v>508.0</v>
      </c>
      <c r="D515" s="65">
        <v>45545.0</v>
      </c>
      <c r="E515" s="67" t="s">
        <v>491</v>
      </c>
      <c r="F515" s="67" t="s">
        <v>329</v>
      </c>
      <c r="G515" s="69">
        <f>SUMPRODUCT(('⚙️Pengaturan'!$C$3:$C$100=$F515)*('⚙️Pengaturan'!$D$3:$D$100))</f>
        <v>750000</v>
      </c>
      <c r="H515" s="70" t="s">
        <v>28</v>
      </c>
      <c r="I515" s="69">
        <v>400000.0</v>
      </c>
      <c r="J515" s="69">
        <f t="shared" si="2"/>
        <v>350000</v>
      </c>
      <c r="K515" s="71"/>
    </row>
    <row r="516" ht="17.25" customHeight="1">
      <c r="A516" s="61"/>
      <c r="B516" s="63" t="b">
        <v>0</v>
      </c>
      <c r="C516" s="64">
        <v>509.0</v>
      </c>
      <c r="D516" s="65">
        <v>45545.0</v>
      </c>
      <c r="E516" s="67" t="s">
        <v>513</v>
      </c>
      <c r="F516" s="67" t="s">
        <v>331</v>
      </c>
      <c r="G516" s="69">
        <f>SUMPRODUCT(('⚙️Pengaturan'!$C$3:$C$100=$F516)*('⚙️Pengaturan'!$D$3:$D$100))</f>
        <v>1400000</v>
      </c>
      <c r="H516" s="70" t="s">
        <v>28</v>
      </c>
      <c r="I516" s="69">
        <v>1100000.0</v>
      </c>
      <c r="J516" s="69">
        <f t="shared" si="2"/>
        <v>300000</v>
      </c>
      <c r="K516" s="71"/>
    </row>
    <row r="517" ht="17.25" customHeight="1">
      <c r="A517" s="61"/>
      <c r="B517" s="63" t="b">
        <v>0</v>
      </c>
      <c r="C517" s="64">
        <v>510.0</v>
      </c>
      <c r="D517" s="65">
        <v>45545.0</v>
      </c>
      <c r="E517" s="67" t="s">
        <v>509</v>
      </c>
      <c r="F517" s="67" t="s">
        <v>334</v>
      </c>
      <c r="G517" s="69">
        <f>SUMPRODUCT(('⚙️Pengaturan'!$C$3:$C$100=$F517)*('⚙️Pengaturan'!$D$3:$D$100))</f>
        <v>175000</v>
      </c>
      <c r="H517" s="70" t="s">
        <v>28</v>
      </c>
      <c r="I517" s="69"/>
      <c r="J517" s="69">
        <f t="shared" si="2"/>
        <v>175000</v>
      </c>
      <c r="K517" s="71"/>
    </row>
    <row r="518" ht="17.25" customHeight="1">
      <c r="A518" s="61"/>
      <c r="B518" s="63" t="b">
        <v>0</v>
      </c>
      <c r="C518" s="64">
        <v>511.0</v>
      </c>
      <c r="D518" s="65">
        <v>45545.0</v>
      </c>
      <c r="E518" s="67" t="s">
        <v>502</v>
      </c>
      <c r="F518" s="67" t="s">
        <v>338</v>
      </c>
      <c r="G518" s="69">
        <f>SUMPRODUCT(('⚙️Pengaturan'!$C$3:$C$100=$F518)*('⚙️Pengaturan'!$D$3:$D$100))</f>
        <v>2000000</v>
      </c>
      <c r="H518" s="70" t="s">
        <v>28</v>
      </c>
      <c r="I518" s="69">
        <v>1000000.0</v>
      </c>
      <c r="J518" s="69">
        <f t="shared" si="2"/>
        <v>1000000</v>
      </c>
      <c r="K518" s="71"/>
    </row>
    <row r="519" ht="17.25" customHeight="1">
      <c r="A519" s="205"/>
      <c r="B519" s="206" t="b">
        <v>0</v>
      </c>
      <c r="C519" s="207">
        <v>512.0</v>
      </c>
      <c r="D519" s="208">
        <v>45546.0</v>
      </c>
      <c r="E519" s="209" t="s">
        <v>514</v>
      </c>
      <c r="F519" s="209" t="s">
        <v>334</v>
      </c>
      <c r="G519" s="210">
        <f>SUMPRODUCT(('⚙️Pengaturan'!$C$3:$C$100=$F519)*('⚙️Pengaturan'!$D$3:$D$100))</f>
        <v>175000</v>
      </c>
      <c r="H519" s="211" t="s">
        <v>28</v>
      </c>
      <c r="I519" s="210"/>
      <c r="J519" s="210">
        <f t="shared" si="2"/>
        <v>175000</v>
      </c>
      <c r="K519" s="212"/>
    </row>
    <row r="520" ht="17.25" customHeight="1">
      <c r="A520" s="61"/>
      <c r="B520" s="63" t="b">
        <v>0</v>
      </c>
      <c r="C520" s="64">
        <v>513.0</v>
      </c>
      <c r="D520" s="65">
        <v>45546.0</v>
      </c>
      <c r="E520" s="67" t="s">
        <v>493</v>
      </c>
      <c r="F520" s="214" t="s">
        <v>334</v>
      </c>
      <c r="G520" s="69">
        <f>SUMPRODUCT(('⚙️Pengaturan'!$C$3:$C$100=$F520)*('⚙️Pengaturan'!$D$3:$D$100))</f>
        <v>175000</v>
      </c>
      <c r="H520" s="70" t="s">
        <v>63</v>
      </c>
      <c r="I520" s="69"/>
      <c r="J520" s="69">
        <f t="shared" si="2"/>
        <v>175000</v>
      </c>
      <c r="K520" s="71"/>
    </row>
    <row r="521" ht="17.25" customHeight="1">
      <c r="A521" s="61"/>
      <c r="B521" s="63" t="b">
        <v>0</v>
      </c>
      <c r="C521" s="64">
        <v>514.0</v>
      </c>
      <c r="D521" s="65">
        <v>45546.0</v>
      </c>
      <c r="E521" s="67" t="s">
        <v>515</v>
      </c>
      <c r="F521" s="67" t="s">
        <v>329</v>
      </c>
      <c r="G521" s="69">
        <f>SUMPRODUCT(('⚙️Pengaturan'!$C$3:$C$100=$F521)*('⚙️Pengaturan'!$D$3:$D$100))</f>
        <v>750000</v>
      </c>
      <c r="H521" s="70" t="s">
        <v>63</v>
      </c>
      <c r="I521" s="69"/>
      <c r="J521" s="69">
        <f t="shared" si="2"/>
        <v>750000</v>
      </c>
      <c r="K521" s="71"/>
    </row>
    <row r="522" ht="17.25" customHeight="1">
      <c r="A522" s="61"/>
      <c r="B522" s="63" t="b">
        <v>0</v>
      </c>
      <c r="C522" s="64">
        <v>515.0</v>
      </c>
      <c r="D522" s="65">
        <v>45546.0</v>
      </c>
      <c r="E522" s="67" t="s">
        <v>516</v>
      </c>
      <c r="F522" s="67" t="s">
        <v>334</v>
      </c>
      <c r="G522" s="69">
        <f>SUMPRODUCT(('⚙️Pengaturan'!$C$3:$C$100=$F522)*('⚙️Pengaturan'!$D$3:$D$100))</f>
        <v>175000</v>
      </c>
      <c r="H522" s="70" t="s">
        <v>28</v>
      </c>
      <c r="I522" s="69"/>
      <c r="J522" s="69">
        <f t="shared" si="2"/>
        <v>175000</v>
      </c>
      <c r="K522" s="71"/>
    </row>
    <row r="523" ht="17.25" customHeight="1">
      <c r="A523" s="61"/>
      <c r="B523" s="63" t="b">
        <v>0</v>
      </c>
      <c r="C523" s="64">
        <v>516.0</v>
      </c>
      <c r="D523" s="65">
        <v>45546.0</v>
      </c>
      <c r="E523" s="67" t="s">
        <v>517</v>
      </c>
      <c r="F523" s="67" t="s">
        <v>329</v>
      </c>
      <c r="G523" s="69">
        <f>SUMPRODUCT(('⚙️Pengaturan'!$C$3:$C$100=$F523)*('⚙️Pengaturan'!$D$3:$D$100))</f>
        <v>750000</v>
      </c>
      <c r="H523" s="70" t="s">
        <v>28</v>
      </c>
      <c r="I523" s="69"/>
      <c r="J523" s="69">
        <f t="shared" si="2"/>
        <v>750000</v>
      </c>
      <c r="K523" s="71"/>
    </row>
    <row r="524" ht="17.25" customHeight="1">
      <c r="A524" s="205"/>
      <c r="B524" s="206" t="b">
        <v>0</v>
      </c>
      <c r="C524" s="207">
        <v>517.0</v>
      </c>
      <c r="D524" s="208">
        <v>45547.0</v>
      </c>
      <c r="E524" s="209" t="s">
        <v>392</v>
      </c>
      <c r="F524" s="209" t="s">
        <v>44</v>
      </c>
      <c r="G524" s="210">
        <f>SUMPRODUCT(('⚙️Pengaturan'!$C$3:$C$100=$F524)*('⚙️Pengaturan'!$D$3:$D$100))</f>
        <v>150000</v>
      </c>
      <c r="H524" s="211" t="s">
        <v>28</v>
      </c>
      <c r="I524" s="210"/>
      <c r="J524" s="210">
        <f t="shared" si="2"/>
        <v>150000</v>
      </c>
      <c r="K524" s="212"/>
    </row>
    <row r="525" ht="17.25" customHeight="1">
      <c r="A525" s="61"/>
      <c r="B525" s="63" t="b">
        <v>0</v>
      </c>
      <c r="C525" s="64">
        <v>518.0</v>
      </c>
      <c r="D525" s="65">
        <v>45547.0</v>
      </c>
      <c r="E525" s="67" t="s">
        <v>491</v>
      </c>
      <c r="F525" s="67" t="s">
        <v>329</v>
      </c>
      <c r="G525" s="69">
        <f>SUMPRODUCT(('⚙️Pengaturan'!$C$3:$C$100=$F525)*('⚙️Pengaturan'!$D$3:$D$100))</f>
        <v>750000</v>
      </c>
      <c r="H525" s="70" t="s">
        <v>28</v>
      </c>
      <c r="I525" s="69">
        <v>350000.0</v>
      </c>
      <c r="J525" s="69">
        <f t="shared" si="2"/>
        <v>400000</v>
      </c>
      <c r="K525" s="71"/>
    </row>
    <row r="526" ht="17.25" customHeight="1">
      <c r="A526" s="61"/>
      <c r="B526" s="63" t="b">
        <v>0</v>
      </c>
      <c r="C526" s="64">
        <v>519.0</v>
      </c>
      <c r="D526" s="65">
        <v>45547.0</v>
      </c>
      <c r="E526" s="67" t="s">
        <v>518</v>
      </c>
      <c r="F526" s="67" t="s">
        <v>334</v>
      </c>
      <c r="G526" s="69">
        <f>SUMPRODUCT(('⚙️Pengaturan'!$C$3:$C$100=$F526)*('⚙️Pengaturan'!$D$3:$D$100))</f>
        <v>175000</v>
      </c>
      <c r="H526" s="70" t="s">
        <v>28</v>
      </c>
      <c r="I526" s="69"/>
      <c r="J526" s="69">
        <f t="shared" si="2"/>
        <v>175000</v>
      </c>
      <c r="K526" s="71"/>
    </row>
    <row r="527" ht="17.25" customHeight="1">
      <c r="A527" s="61"/>
      <c r="B527" s="63" t="b">
        <v>0</v>
      </c>
      <c r="C527" s="64">
        <v>520.0</v>
      </c>
      <c r="D527" s="65">
        <v>45547.0</v>
      </c>
      <c r="E527" s="67" t="s">
        <v>519</v>
      </c>
      <c r="F527" s="67" t="s">
        <v>334</v>
      </c>
      <c r="G527" s="69">
        <f>SUMPRODUCT(('⚙️Pengaturan'!$C$3:$C$100=$F527)*('⚙️Pengaturan'!$D$3:$D$100))</f>
        <v>175000</v>
      </c>
      <c r="H527" s="70" t="s">
        <v>28</v>
      </c>
      <c r="I527" s="69"/>
      <c r="J527" s="69">
        <f t="shared" si="2"/>
        <v>175000</v>
      </c>
      <c r="K527" s="71"/>
    </row>
    <row r="528" ht="17.25" customHeight="1">
      <c r="A528" s="205"/>
      <c r="B528" s="206" t="b">
        <v>0</v>
      </c>
      <c r="C528" s="207">
        <v>521.0</v>
      </c>
      <c r="D528" s="208">
        <v>45549.0</v>
      </c>
      <c r="E528" s="209" t="s">
        <v>505</v>
      </c>
      <c r="F528" s="209" t="s">
        <v>334</v>
      </c>
      <c r="G528" s="210">
        <f>SUMPRODUCT(('⚙️Pengaturan'!$C$3:$C$100=$F528)*('⚙️Pengaturan'!$D$3:$D$100))</f>
        <v>175000</v>
      </c>
      <c r="H528" s="211" t="s">
        <v>28</v>
      </c>
      <c r="I528" s="210"/>
      <c r="J528" s="210">
        <f t="shared" si="2"/>
        <v>175000</v>
      </c>
      <c r="K528" s="212"/>
    </row>
    <row r="529" ht="17.25" customHeight="1">
      <c r="A529" s="61"/>
      <c r="B529" s="63" t="b">
        <v>0</v>
      </c>
      <c r="C529" s="64">
        <v>522.0</v>
      </c>
      <c r="D529" s="65">
        <v>45549.0</v>
      </c>
      <c r="E529" s="67" t="s">
        <v>375</v>
      </c>
      <c r="F529" s="67" t="s">
        <v>329</v>
      </c>
      <c r="G529" s="69">
        <f>SUMPRODUCT(('⚙️Pengaturan'!$C$3:$C$100=$F529)*('⚙️Pengaturan'!$D$3:$D$100))</f>
        <v>750000</v>
      </c>
      <c r="H529" s="70" t="s">
        <v>28</v>
      </c>
      <c r="I529" s="69"/>
      <c r="J529" s="69">
        <f t="shared" si="2"/>
        <v>750000</v>
      </c>
      <c r="K529" s="71"/>
    </row>
    <row r="530" ht="17.25" customHeight="1">
      <c r="A530" s="61"/>
      <c r="B530" s="63" t="b">
        <v>0</v>
      </c>
      <c r="C530" s="64">
        <v>523.0</v>
      </c>
      <c r="D530" s="65">
        <v>45549.0</v>
      </c>
      <c r="E530" s="67" t="s">
        <v>520</v>
      </c>
      <c r="F530" s="67" t="s">
        <v>334</v>
      </c>
      <c r="G530" s="69">
        <f>SUMPRODUCT(('⚙️Pengaturan'!$C$3:$C$100=$F530)*('⚙️Pengaturan'!$D$3:$D$100))</f>
        <v>175000</v>
      </c>
      <c r="H530" s="70" t="s">
        <v>28</v>
      </c>
      <c r="I530" s="69"/>
      <c r="J530" s="69">
        <f t="shared" si="2"/>
        <v>175000</v>
      </c>
      <c r="K530" s="71"/>
    </row>
    <row r="531" ht="17.25" customHeight="1">
      <c r="A531" s="205"/>
      <c r="B531" s="206" t="b">
        <v>0</v>
      </c>
      <c r="C531" s="207">
        <v>524.0</v>
      </c>
      <c r="D531" s="208">
        <v>45550.0</v>
      </c>
      <c r="E531" s="209" t="s">
        <v>521</v>
      </c>
      <c r="F531" s="209" t="s">
        <v>334</v>
      </c>
      <c r="G531" s="210">
        <f>SUMPRODUCT(('⚙️Pengaturan'!$C$3:$C$100=$F531)*('⚙️Pengaturan'!$D$3:$D$100))</f>
        <v>175000</v>
      </c>
      <c r="H531" s="211" t="s">
        <v>28</v>
      </c>
      <c r="I531" s="210"/>
      <c r="J531" s="210">
        <f t="shared" si="2"/>
        <v>175000</v>
      </c>
      <c r="K531" s="212"/>
    </row>
    <row r="532" ht="17.25" customHeight="1">
      <c r="A532" s="61"/>
      <c r="B532" s="63" t="b">
        <v>0</v>
      </c>
      <c r="C532" s="64">
        <v>525.0</v>
      </c>
      <c r="D532" s="65">
        <v>45550.0</v>
      </c>
      <c r="E532" s="67" t="s">
        <v>522</v>
      </c>
      <c r="F532" s="67" t="s">
        <v>329</v>
      </c>
      <c r="G532" s="69">
        <f>SUMPRODUCT(('⚙️Pengaturan'!$C$3:$C$100=$F532)*('⚙️Pengaturan'!$D$3:$D$100))</f>
        <v>750000</v>
      </c>
      <c r="H532" s="70" t="s">
        <v>63</v>
      </c>
      <c r="I532" s="69">
        <v>70000.0</v>
      </c>
      <c r="J532" s="69">
        <f t="shared" si="2"/>
        <v>680000</v>
      </c>
      <c r="K532" s="71"/>
    </row>
    <row r="533" ht="17.25" customHeight="1">
      <c r="A533" s="61"/>
      <c r="B533" s="63" t="b">
        <v>0</v>
      </c>
      <c r="C533" s="64">
        <v>526.0</v>
      </c>
      <c r="D533" s="65">
        <v>45550.0</v>
      </c>
      <c r="E533" s="67" t="s">
        <v>523</v>
      </c>
      <c r="F533" s="67" t="s">
        <v>329</v>
      </c>
      <c r="G533" s="69">
        <f>SUMPRODUCT(('⚙️Pengaturan'!$C$3:$C$100=$F533)*('⚙️Pengaturan'!$D$3:$D$100))</f>
        <v>750000</v>
      </c>
      <c r="H533" s="70" t="s">
        <v>63</v>
      </c>
      <c r="I533" s="69"/>
      <c r="J533" s="69">
        <f t="shared" si="2"/>
        <v>750000</v>
      </c>
      <c r="K533" s="71"/>
    </row>
    <row r="534" ht="17.25" customHeight="1">
      <c r="A534" s="205"/>
      <c r="B534" s="206" t="b">
        <v>0</v>
      </c>
      <c r="C534" s="207">
        <v>527.0</v>
      </c>
      <c r="D534" s="208">
        <v>45552.0</v>
      </c>
      <c r="E534" s="209" t="s">
        <v>392</v>
      </c>
      <c r="F534" s="209" t="s">
        <v>44</v>
      </c>
      <c r="G534" s="210">
        <f>SUMPRODUCT(('⚙️Pengaturan'!$C$3:$C$100=$F534)*('⚙️Pengaturan'!$D$3:$D$100))</f>
        <v>150000</v>
      </c>
      <c r="H534" s="211" t="s">
        <v>28</v>
      </c>
      <c r="I534" s="210"/>
      <c r="J534" s="210">
        <f t="shared" si="2"/>
        <v>150000</v>
      </c>
      <c r="K534" s="212"/>
    </row>
    <row r="535" ht="17.25" customHeight="1">
      <c r="A535" s="61"/>
      <c r="B535" s="63" t="b">
        <v>0</v>
      </c>
      <c r="C535" s="64">
        <v>528.0</v>
      </c>
      <c r="D535" s="65">
        <v>45552.0</v>
      </c>
      <c r="E535" s="67" t="s">
        <v>524</v>
      </c>
      <c r="F535" s="67" t="s">
        <v>337</v>
      </c>
      <c r="G535" s="69">
        <f>SUMPRODUCT(('⚙️Pengaturan'!$C$3:$C$100=$F535)*('⚙️Pengaturan'!$D$3:$D$100))</f>
        <v>275000</v>
      </c>
      <c r="H535" s="70" t="s">
        <v>63</v>
      </c>
      <c r="I535" s="69"/>
      <c r="J535" s="69">
        <f t="shared" si="2"/>
        <v>275000</v>
      </c>
      <c r="K535" s="71"/>
    </row>
    <row r="536" ht="17.25" customHeight="1">
      <c r="A536" s="61"/>
      <c r="B536" s="63" t="b">
        <v>0</v>
      </c>
      <c r="C536" s="64">
        <v>529.0</v>
      </c>
      <c r="D536" s="65">
        <v>45552.0</v>
      </c>
      <c r="E536" s="67" t="s">
        <v>525</v>
      </c>
      <c r="F536" s="67" t="s">
        <v>329</v>
      </c>
      <c r="G536" s="69">
        <f>SUMPRODUCT(('⚙️Pengaturan'!$C$3:$C$100=$F536)*('⚙️Pengaturan'!$D$3:$D$100))</f>
        <v>750000</v>
      </c>
      <c r="H536" s="70" t="s">
        <v>28</v>
      </c>
      <c r="I536" s="69"/>
      <c r="J536" s="69">
        <f t="shared" si="2"/>
        <v>750000</v>
      </c>
      <c r="K536" s="71"/>
    </row>
    <row r="537" ht="17.25" customHeight="1">
      <c r="A537" s="61"/>
      <c r="B537" s="63" t="b">
        <v>0</v>
      </c>
      <c r="C537" s="64">
        <v>530.0</v>
      </c>
      <c r="D537" s="65">
        <v>45552.0</v>
      </c>
      <c r="E537" s="67" t="s">
        <v>307</v>
      </c>
      <c r="F537" s="67" t="s">
        <v>67</v>
      </c>
      <c r="G537" s="69">
        <f>SUMPRODUCT(('⚙️Pengaturan'!$C$3:$C$100=$F537)*('⚙️Pengaturan'!$D$3:$D$100))</f>
        <v>1200000</v>
      </c>
      <c r="H537" s="70" t="s">
        <v>63</v>
      </c>
      <c r="I537" s="69">
        <v>600000.0</v>
      </c>
      <c r="J537" s="69">
        <f t="shared" si="2"/>
        <v>600000</v>
      </c>
      <c r="K537" s="71"/>
    </row>
    <row r="538" ht="17.25" customHeight="1">
      <c r="A538" s="61"/>
      <c r="B538" s="63" t="b">
        <v>0</v>
      </c>
      <c r="C538" s="64">
        <v>531.0</v>
      </c>
      <c r="D538" s="65">
        <v>45552.0</v>
      </c>
      <c r="E538" s="67" t="s">
        <v>520</v>
      </c>
      <c r="F538" s="67" t="s">
        <v>329</v>
      </c>
      <c r="G538" s="69">
        <f>SUMPRODUCT(('⚙️Pengaturan'!$C$3:$C$100=$F538)*('⚙️Pengaturan'!$D$3:$D$100))</f>
        <v>750000</v>
      </c>
      <c r="H538" s="70" t="s">
        <v>28</v>
      </c>
      <c r="I538" s="69"/>
      <c r="J538" s="69">
        <f t="shared" si="2"/>
        <v>750000</v>
      </c>
      <c r="K538" s="71"/>
    </row>
    <row r="539" ht="17.25" customHeight="1">
      <c r="A539" s="205"/>
      <c r="B539" s="206" t="b">
        <v>0</v>
      </c>
      <c r="C539" s="207">
        <v>532.0</v>
      </c>
      <c r="D539" s="208">
        <v>45553.0</v>
      </c>
      <c r="E539" s="209" t="s">
        <v>526</v>
      </c>
      <c r="F539" s="209" t="s">
        <v>334</v>
      </c>
      <c r="G539" s="210">
        <f>SUMPRODUCT(('⚙️Pengaturan'!$C$3:$C$100=$F539)*('⚙️Pengaturan'!$D$3:$D$100))</f>
        <v>175000</v>
      </c>
      <c r="H539" s="211" t="s">
        <v>28</v>
      </c>
      <c r="I539" s="210">
        <v>70000.0</v>
      </c>
      <c r="J539" s="210">
        <f t="shared" si="2"/>
        <v>105000</v>
      </c>
      <c r="K539" s="212"/>
    </row>
    <row r="540" ht="17.25" customHeight="1">
      <c r="A540" s="61"/>
      <c r="B540" s="63" t="b">
        <v>0</v>
      </c>
      <c r="C540" s="64">
        <v>533.0</v>
      </c>
      <c r="D540" s="65">
        <v>45553.0</v>
      </c>
      <c r="E540" s="67" t="s">
        <v>527</v>
      </c>
      <c r="F540" s="67" t="s">
        <v>334</v>
      </c>
      <c r="G540" s="69">
        <f>SUMPRODUCT(('⚙️Pengaturan'!$C$3:$C$100=$F540)*('⚙️Pengaturan'!$D$3:$D$100))</f>
        <v>175000</v>
      </c>
      <c r="H540" s="70" t="s">
        <v>28</v>
      </c>
      <c r="I540" s="69">
        <v>70000.0</v>
      </c>
      <c r="J540" s="69">
        <f t="shared" si="2"/>
        <v>105000</v>
      </c>
      <c r="K540" s="71"/>
    </row>
    <row r="541" ht="17.25" customHeight="1">
      <c r="A541" s="61"/>
      <c r="B541" s="63" t="b">
        <v>0</v>
      </c>
      <c r="C541" s="64">
        <v>534.0</v>
      </c>
      <c r="D541" s="65">
        <v>45553.0</v>
      </c>
      <c r="E541" s="67" t="s">
        <v>528</v>
      </c>
      <c r="F541" s="67" t="s">
        <v>334</v>
      </c>
      <c r="G541" s="69">
        <f>SUMPRODUCT(('⚙️Pengaturan'!$C$3:$C$100=$F541)*('⚙️Pengaturan'!$D$3:$D$100))</f>
        <v>175000</v>
      </c>
      <c r="H541" s="70" t="s">
        <v>28</v>
      </c>
      <c r="I541" s="69">
        <v>70000.0</v>
      </c>
      <c r="J541" s="69">
        <f t="shared" si="2"/>
        <v>105000</v>
      </c>
      <c r="K541" s="71"/>
    </row>
    <row r="542" ht="17.25" customHeight="1">
      <c r="A542" s="61"/>
      <c r="B542" s="63" t="b">
        <v>0</v>
      </c>
      <c r="C542" s="64">
        <v>535.0</v>
      </c>
      <c r="D542" s="65">
        <v>45553.0</v>
      </c>
      <c r="E542" s="67" t="s">
        <v>529</v>
      </c>
      <c r="F542" s="67" t="s">
        <v>329</v>
      </c>
      <c r="G542" s="69">
        <f>SUMPRODUCT(('⚙️Pengaturan'!$C$3:$C$100=$F542)*('⚙️Pengaturan'!$D$3:$D$100))</f>
        <v>750000</v>
      </c>
      <c r="H542" s="70" t="s">
        <v>63</v>
      </c>
      <c r="I542" s="69"/>
      <c r="J542" s="69">
        <f t="shared" si="2"/>
        <v>750000</v>
      </c>
      <c r="K542" s="71"/>
    </row>
    <row r="543" ht="17.25" customHeight="1">
      <c r="A543" s="205"/>
      <c r="B543" s="206" t="b">
        <v>0</v>
      </c>
      <c r="C543" s="207">
        <v>536.0</v>
      </c>
      <c r="D543" s="208">
        <v>45554.0</v>
      </c>
      <c r="E543" s="209" t="s">
        <v>530</v>
      </c>
      <c r="F543" s="209" t="s">
        <v>329</v>
      </c>
      <c r="G543" s="210">
        <f>SUMPRODUCT(('⚙️Pengaturan'!$C$3:$C$100=$F543)*('⚙️Pengaturan'!$D$3:$D$100))</f>
        <v>750000</v>
      </c>
      <c r="H543" s="211" t="s">
        <v>28</v>
      </c>
      <c r="I543" s="210">
        <v>250000.0</v>
      </c>
      <c r="J543" s="210">
        <f t="shared" si="2"/>
        <v>500000</v>
      </c>
      <c r="K543" s="212"/>
    </row>
    <row r="544" ht="17.25" customHeight="1">
      <c r="A544" s="61"/>
      <c r="B544" s="63" t="b">
        <v>0</v>
      </c>
      <c r="C544" s="64">
        <v>537.0</v>
      </c>
      <c r="D544" s="65">
        <v>45554.0</v>
      </c>
      <c r="E544" s="67" t="s">
        <v>531</v>
      </c>
      <c r="F544" s="67" t="s">
        <v>329</v>
      </c>
      <c r="G544" s="69">
        <f>SUMPRODUCT(('⚙️Pengaturan'!$C$3:$C$100=$F544)*('⚙️Pengaturan'!$D$3:$D$100))</f>
        <v>750000</v>
      </c>
      <c r="H544" s="70" t="s">
        <v>28</v>
      </c>
      <c r="I544" s="69">
        <v>250000.0</v>
      </c>
      <c r="J544" s="69">
        <f t="shared" si="2"/>
        <v>500000</v>
      </c>
      <c r="K544" s="71"/>
    </row>
    <row r="545" ht="17.25" customHeight="1">
      <c r="A545" s="205"/>
      <c r="B545" s="206" t="b">
        <v>0</v>
      </c>
      <c r="C545" s="207">
        <v>538.0</v>
      </c>
      <c r="D545" s="208">
        <v>45556.0</v>
      </c>
      <c r="E545" s="209" t="s">
        <v>505</v>
      </c>
      <c r="F545" s="209" t="s">
        <v>334</v>
      </c>
      <c r="G545" s="210">
        <f>SUMPRODUCT(('⚙️Pengaturan'!$C$3:$C$100=$F545)*('⚙️Pengaturan'!$D$3:$D$100))</f>
        <v>175000</v>
      </c>
      <c r="H545" s="211" t="s">
        <v>28</v>
      </c>
      <c r="I545" s="210"/>
      <c r="J545" s="210">
        <f t="shared" si="2"/>
        <v>175000</v>
      </c>
      <c r="K545" s="212"/>
    </row>
    <row r="546" ht="17.25" customHeight="1">
      <c r="A546" s="61"/>
      <c r="B546" s="63" t="b">
        <v>0</v>
      </c>
      <c r="C546" s="64">
        <v>539.0</v>
      </c>
      <c r="D546" s="65">
        <v>45556.0</v>
      </c>
      <c r="E546" s="67" t="s">
        <v>530</v>
      </c>
      <c r="F546" s="67" t="s">
        <v>329</v>
      </c>
      <c r="G546" s="69">
        <f>SUMPRODUCT(('⚙️Pengaturan'!$C$3:$C$100=$F546)*('⚙️Pengaturan'!$D$3:$D$100))</f>
        <v>750000</v>
      </c>
      <c r="H546" s="70" t="s">
        <v>28</v>
      </c>
      <c r="I546" s="69">
        <v>500000.0</v>
      </c>
      <c r="J546" s="69">
        <f t="shared" si="2"/>
        <v>250000</v>
      </c>
      <c r="K546" s="71"/>
    </row>
    <row r="547" ht="17.25" customHeight="1">
      <c r="A547" s="61"/>
      <c r="B547" s="63" t="b">
        <v>0</v>
      </c>
      <c r="C547" s="64">
        <v>540.0</v>
      </c>
      <c r="D547" s="65">
        <v>45556.0</v>
      </c>
      <c r="E547" s="67" t="s">
        <v>532</v>
      </c>
      <c r="F547" s="67" t="s">
        <v>334</v>
      </c>
      <c r="G547" s="69">
        <f>SUMPRODUCT(('⚙️Pengaturan'!$C$3:$C$100=$F547)*('⚙️Pengaturan'!$D$3:$D$100))</f>
        <v>175000</v>
      </c>
      <c r="H547" s="70" t="s">
        <v>28</v>
      </c>
      <c r="I547" s="69"/>
      <c r="J547" s="69">
        <f t="shared" si="2"/>
        <v>175000</v>
      </c>
      <c r="K547" s="71"/>
    </row>
    <row r="548" ht="17.25" customHeight="1">
      <c r="A548" s="61"/>
      <c r="B548" s="63" t="b">
        <v>0</v>
      </c>
      <c r="C548" s="64">
        <v>541.0</v>
      </c>
      <c r="D548" s="65">
        <v>45556.0</v>
      </c>
      <c r="E548" s="67" t="s">
        <v>533</v>
      </c>
      <c r="F548" s="67" t="s">
        <v>334</v>
      </c>
      <c r="G548" s="69">
        <f>SUMPRODUCT(('⚙️Pengaturan'!$C$3:$C$100=$F548)*('⚙️Pengaturan'!$D$3:$D$100))</f>
        <v>175000</v>
      </c>
      <c r="H548" s="70" t="s">
        <v>28</v>
      </c>
      <c r="I548" s="69">
        <v>70000.0</v>
      </c>
      <c r="J548" s="69">
        <f t="shared" si="2"/>
        <v>105000</v>
      </c>
      <c r="K548" s="71"/>
    </row>
    <row r="549" ht="17.25" customHeight="1">
      <c r="A549" s="205"/>
      <c r="B549" s="206" t="b">
        <v>0</v>
      </c>
      <c r="C549" s="207">
        <v>542.0</v>
      </c>
      <c r="D549" s="208">
        <v>45557.0</v>
      </c>
      <c r="E549" s="209" t="s">
        <v>534</v>
      </c>
      <c r="F549" s="209" t="s">
        <v>334</v>
      </c>
      <c r="G549" s="210">
        <f>SUMPRODUCT(('⚙️Pengaturan'!$C$3:$C$100=$F549)*('⚙️Pengaturan'!$D$3:$D$100))</f>
        <v>175000</v>
      </c>
      <c r="H549" s="211" t="s">
        <v>28</v>
      </c>
      <c r="I549" s="210"/>
      <c r="J549" s="210">
        <f t="shared" si="2"/>
        <v>175000</v>
      </c>
      <c r="K549" s="212"/>
    </row>
    <row r="550" ht="17.25" customHeight="1">
      <c r="A550" s="61"/>
      <c r="B550" s="63" t="b">
        <v>0</v>
      </c>
      <c r="C550" s="64">
        <v>543.0</v>
      </c>
      <c r="D550" s="65">
        <v>45557.0</v>
      </c>
      <c r="E550" s="67" t="s">
        <v>531</v>
      </c>
      <c r="F550" s="67" t="s">
        <v>329</v>
      </c>
      <c r="G550" s="69">
        <f>SUMPRODUCT(('⚙️Pengaturan'!$C$3:$C$100=$F550)*('⚙️Pengaturan'!$D$3:$D$100))</f>
        <v>750000</v>
      </c>
      <c r="H550" s="70" t="s">
        <v>28</v>
      </c>
      <c r="I550" s="69">
        <v>500000.0</v>
      </c>
      <c r="J550" s="69">
        <f t="shared" si="2"/>
        <v>250000</v>
      </c>
      <c r="K550" s="71"/>
    </row>
    <row r="551" ht="17.25" customHeight="1">
      <c r="A551" s="61"/>
      <c r="B551" s="63" t="b">
        <v>0</v>
      </c>
      <c r="C551" s="64">
        <v>544.0</v>
      </c>
      <c r="D551" s="65">
        <v>45557.0</v>
      </c>
      <c r="E551" s="67" t="s">
        <v>535</v>
      </c>
      <c r="F551" s="67" t="s">
        <v>334</v>
      </c>
      <c r="G551" s="69">
        <f>SUMPRODUCT(('⚙️Pengaturan'!$C$3:$C$100=$F551)*('⚙️Pengaturan'!$D$3:$D$100))</f>
        <v>175000</v>
      </c>
      <c r="H551" s="70" t="s">
        <v>28</v>
      </c>
      <c r="I551" s="69"/>
      <c r="J551" s="69">
        <f t="shared" si="2"/>
        <v>175000</v>
      </c>
      <c r="K551" s="71"/>
    </row>
    <row r="552" ht="17.25" customHeight="1">
      <c r="A552" s="205"/>
      <c r="B552" s="206" t="b">
        <v>0</v>
      </c>
      <c r="C552" s="207">
        <v>545.0</v>
      </c>
      <c r="D552" s="208">
        <v>45558.0</v>
      </c>
      <c r="E552" s="209" t="s">
        <v>474</v>
      </c>
      <c r="F552" s="209" t="s">
        <v>67</v>
      </c>
      <c r="G552" s="210">
        <f>SUMPRODUCT(('⚙️Pengaturan'!$C$3:$C$100=$F552)*('⚙️Pengaturan'!$D$3:$D$100))</f>
        <v>1200000</v>
      </c>
      <c r="H552" s="211" t="s">
        <v>28</v>
      </c>
      <c r="I552" s="210"/>
      <c r="J552" s="210">
        <f t="shared" si="2"/>
        <v>1200000</v>
      </c>
      <c r="K552" s="212"/>
    </row>
    <row r="553" ht="17.25" customHeight="1">
      <c r="A553" s="205"/>
      <c r="B553" s="206" t="b">
        <v>0</v>
      </c>
      <c r="C553" s="207">
        <v>546.0</v>
      </c>
      <c r="D553" s="208">
        <v>45559.0</v>
      </c>
      <c r="E553" s="209" t="s">
        <v>536</v>
      </c>
      <c r="F553" s="209" t="s">
        <v>334</v>
      </c>
      <c r="G553" s="210">
        <f>SUMPRODUCT(('⚙️Pengaturan'!$C$3:$C$100=$F553)*('⚙️Pengaturan'!$D$3:$D$100))</f>
        <v>175000</v>
      </c>
      <c r="H553" s="211" t="s">
        <v>28</v>
      </c>
      <c r="I553" s="210"/>
      <c r="J553" s="210">
        <f t="shared" si="2"/>
        <v>175000</v>
      </c>
      <c r="K553" s="212"/>
    </row>
    <row r="554" ht="17.25" customHeight="1">
      <c r="A554" s="61"/>
      <c r="B554" s="63" t="b">
        <v>0</v>
      </c>
      <c r="C554" s="64">
        <v>547.0</v>
      </c>
      <c r="D554" s="65">
        <v>45559.0</v>
      </c>
      <c r="E554" s="67" t="s">
        <v>537</v>
      </c>
      <c r="F554" s="67" t="s">
        <v>334</v>
      </c>
      <c r="G554" s="69">
        <f>SUMPRODUCT(('⚙️Pengaturan'!$C$3:$C$100=$F554)*('⚙️Pengaturan'!$D$3:$D$100))</f>
        <v>175000</v>
      </c>
      <c r="H554" s="70" t="s">
        <v>28</v>
      </c>
      <c r="I554" s="69"/>
      <c r="J554" s="69">
        <f t="shared" si="2"/>
        <v>175000</v>
      </c>
      <c r="K554" s="71"/>
    </row>
    <row r="555" ht="17.25" customHeight="1">
      <c r="A555" s="61"/>
      <c r="B555" s="63" t="b">
        <v>0</v>
      </c>
      <c r="C555" s="64">
        <v>548.0</v>
      </c>
      <c r="D555" s="65">
        <v>45559.0</v>
      </c>
      <c r="E555" s="67" t="s">
        <v>538</v>
      </c>
      <c r="F555" s="67" t="s">
        <v>331</v>
      </c>
      <c r="G555" s="69">
        <f>SUMPRODUCT(('⚙️Pengaturan'!$C$3:$C$100=$F555)*('⚙️Pengaturan'!$D$3:$D$100))</f>
        <v>1400000</v>
      </c>
      <c r="H555" s="70" t="s">
        <v>63</v>
      </c>
      <c r="I555" s="69"/>
      <c r="J555" s="69">
        <f t="shared" si="2"/>
        <v>1400000</v>
      </c>
      <c r="K555" s="71"/>
    </row>
    <row r="556" ht="17.25" customHeight="1">
      <c r="A556" s="205"/>
      <c r="B556" s="206" t="b">
        <v>0</v>
      </c>
      <c r="C556" s="207">
        <v>549.0</v>
      </c>
      <c r="D556" s="208">
        <v>45561.0</v>
      </c>
      <c r="E556" s="209" t="s">
        <v>539</v>
      </c>
      <c r="F556" s="209" t="s">
        <v>329</v>
      </c>
      <c r="G556" s="210">
        <f>SUMPRODUCT(('⚙️Pengaturan'!$C$3:$C$100=$F556)*('⚙️Pengaturan'!$D$3:$D$100))</f>
        <v>750000</v>
      </c>
      <c r="H556" s="211" t="s">
        <v>63</v>
      </c>
      <c r="I556" s="210"/>
      <c r="J556" s="210">
        <f t="shared" si="2"/>
        <v>750000</v>
      </c>
      <c r="K556" s="212"/>
    </row>
    <row r="557" ht="17.25" customHeight="1">
      <c r="A557" s="61"/>
      <c r="B557" s="63" t="b">
        <v>0</v>
      </c>
      <c r="C557" s="64">
        <v>550.0</v>
      </c>
      <c r="D557" s="65">
        <v>45561.0</v>
      </c>
      <c r="E557" s="67" t="s">
        <v>540</v>
      </c>
      <c r="F557" s="67" t="s">
        <v>334</v>
      </c>
      <c r="G557" s="69">
        <f>SUMPRODUCT(('⚙️Pengaturan'!$C$3:$C$100=$F557)*('⚙️Pengaturan'!$D$3:$D$100))</f>
        <v>175000</v>
      </c>
      <c r="H557" s="70" t="s">
        <v>28</v>
      </c>
      <c r="I557" s="69"/>
      <c r="J557" s="69">
        <f t="shared" si="2"/>
        <v>175000</v>
      </c>
      <c r="K557" s="71"/>
    </row>
    <row r="558" ht="17.25" customHeight="1">
      <c r="A558" s="205"/>
      <c r="B558" s="206" t="b">
        <v>0</v>
      </c>
      <c r="C558" s="207">
        <v>551.0</v>
      </c>
      <c r="D558" s="208">
        <v>45563.0</v>
      </c>
      <c r="E558" s="209" t="s">
        <v>533</v>
      </c>
      <c r="F558" s="209" t="s">
        <v>334</v>
      </c>
      <c r="G558" s="210">
        <f>SUMPRODUCT(('⚙️Pengaturan'!$C$3:$C$100=$F558)*('⚙️Pengaturan'!$D$3:$D$100))</f>
        <v>175000</v>
      </c>
      <c r="H558" s="211" t="s">
        <v>63</v>
      </c>
      <c r="I558" s="210"/>
      <c r="J558" s="210">
        <f t="shared" si="2"/>
        <v>175000</v>
      </c>
      <c r="K558" s="212"/>
    </row>
    <row r="559" ht="17.25" customHeight="1">
      <c r="A559" s="61"/>
      <c r="B559" s="63" t="b">
        <v>0</v>
      </c>
      <c r="C559" s="64">
        <v>552.0</v>
      </c>
      <c r="D559" s="65">
        <v>45563.0</v>
      </c>
      <c r="E559" s="67" t="s">
        <v>541</v>
      </c>
      <c r="F559" s="67" t="s">
        <v>329</v>
      </c>
      <c r="G559" s="69">
        <f>SUMPRODUCT(('⚙️Pengaturan'!$C$3:$C$100=$F559)*('⚙️Pengaturan'!$D$3:$D$100))</f>
        <v>750000</v>
      </c>
      <c r="H559" s="70" t="s">
        <v>28</v>
      </c>
      <c r="I559" s="69">
        <v>350000.0</v>
      </c>
      <c r="J559" s="69">
        <f t="shared" si="2"/>
        <v>400000</v>
      </c>
      <c r="K559" s="71"/>
    </row>
    <row r="560" ht="17.25" customHeight="1">
      <c r="A560" s="61"/>
      <c r="B560" s="63" t="b">
        <v>0</v>
      </c>
      <c r="C560" s="64">
        <v>553.0</v>
      </c>
      <c r="D560" s="65">
        <v>45563.0</v>
      </c>
      <c r="E560" s="67" t="s">
        <v>542</v>
      </c>
      <c r="F560" s="67" t="s">
        <v>334</v>
      </c>
      <c r="G560" s="69">
        <f>SUMPRODUCT(('⚙️Pengaturan'!$C$3:$C$100=$F560)*('⚙️Pengaturan'!$D$3:$D$100))</f>
        <v>175000</v>
      </c>
      <c r="H560" s="70" t="s">
        <v>63</v>
      </c>
      <c r="I560" s="69"/>
      <c r="J560" s="69">
        <f t="shared" si="2"/>
        <v>175000</v>
      </c>
      <c r="K560" s="71"/>
    </row>
    <row r="561" ht="17.25" customHeight="1">
      <c r="A561" s="61"/>
      <c r="B561" s="63" t="b">
        <v>0</v>
      </c>
      <c r="C561" s="64">
        <v>554.0</v>
      </c>
      <c r="D561" s="65">
        <v>45563.0</v>
      </c>
      <c r="E561" s="67" t="s">
        <v>543</v>
      </c>
      <c r="F561" s="67" t="s">
        <v>334</v>
      </c>
      <c r="G561" s="69">
        <f>SUMPRODUCT(('⚙️Pengaturan'!$C$3:$C$100=$F561)*('⚙️Pengaturan'!$D$3:$D$100))</f>
        <v>175000</v>
      </c>
      <c r="H561" s="70" t="s">
        <v>28</v>
      </c>
      <c r="I561" s="69">
        <v>70000.0</v>
      </c>
      <c r="J561" s="69">
        <f t="shared" si="2"/>
        <v>105000</v>
      </c>
      <c r="K561" s="71"/>
    </row>
    <row r="562" ht="17.25" customHeight="1">
      <c r="A562" s="205"/>
      <c r="B562" s="206" t="b">
        <v>0</v>
      </c>
      <c r="C562" s="207">
        <v>555.0</v>
      </c>
      <c r="D562" s="208">
        <v>45564.0</v>
      </c>
      <c r="E562" s="209" t="s">
        <v>544</v>
      </c>
      <c r="F562" s="209" t="s">
        <v>334</v>
      </c>
      <c r="G562" s="210">
        <f>SUMPRODUCT(('⚙️Pengaturan'!$C$3:$C$100=$F562)*('⚙️Pengaturan'!$D$3:$D$100))</f>
        <v>175000</v>
      </c>
      <c r="H562" s="211" t="s">
        <v>28</v>
      </c>
      <c r="I562" s="210"/>
      <c r="J562" s="210">
        <f t="shared" si="2"/>
        <v>175000</v>
      </c>
      <c r="K562" s="212"/>
    </row>
    <row r="563" ht="17.25" customHeight="1">
      <c r="A563" s="61"/>
      <c r="B563" s="63" t="b">
        <v>0</v>
      </c>
      <c r="C563" s="64">
        <v>556.0</v>
      </c>
      <c r="D563" s="65">
        <v>45564.0</v>
      </c>
      <c r="E563" s="67" t="s">
        <v>545</v>
      </c>
      <c r="F563" s="67" t="s">
        <v>334</v>
      </c>
      <c r="G563" s="69">
        <f>SUMPRODUCT(('⚙️Pengaturan'!$C$3:$C$100=$F563)*('⚙️Pengaturan'!$D$3:$D$100))</f>
        <v>175000</v>
      </c>
      <c r="H563" s="70" t="s">
        <v>63</v>
      </c>
      <c r="I563" s="69"/>
      <c r="J563" s="69">
        <f t="shared" si="2"/>
        <v>175000</v>
      </c>
      <c r="K563" s="71"/>
    </row>
    <row r="564" ht="17.25" customHeight="1">
      <c r="A564" s="61"/>
      <c r="B564" s="63" t="b">
        <v>0</v>
      </c>
      <c r="C564" s="64">
        <v>557.0</v>
      </c>
      <c r="D564" s="65">
        <v>45564.0</v>
      </c>
      <c r="E564" s="67" t="s">
        <v>458</v>
      </c>
      <c r="F564" s="67" t="s">
        <v>334</v>
      </c>
      <c r="G564" s="69">
        <f>SUMPRODUCT(('⚙️Pengaturan'!$C$3:$C$100=$F564)*('⚙️Pengaturan'!$D$3:$D$100))</f>
        <v>175000</v>
      </c>
      <c r="H564" s="70" t="s">
        <v>28</v>
      </c>
      <c r="I564" s="69"/>
      <c r="J564" s="69">
        <f t="shared" si="2"/>
        <v>175000</v>
      </c>
      <c r="K564" s="71"/>
    </row>
    <row r="565" ht="17.25" customHeight="1">
      <c r="A565" s="205"/>
      <c r="B565" s="206" t="b">
        <v>0</v>
      </c>
      <c r="C565" s="207">
        <v>558.0</v>
      </c>
      <c r="D565" s="208">
        <v>45565.0</v>
      </c>
      <c r="E565" s="209" t="s">
        <v>517</v>
      </c>
      <c r="F565" s="209" t="s">
        <v>329</v>
      </c>
      <c r="G565" s="210">
        <f>SUMPRODUCT(('⚙️Pengaturan'!$C$3:$C$100=$F565)*('⚙️Pengaturan'!$D$3:$D$100))</f>
        <v>750000</v>
      </c>
      <c r="H565" s="211" t="s">
        <v>28</v>
      </c>
      <c r="I565" s="210"/>
      <c r="J565" s="210">
        <f t="shared" si="2"/>
        <v>750000</v>
      </c>
      <c r="K565" s="212"/>
    </row>
    <row r="566" ht="17.25" customHeight="1">
      <c r="A566" s="61"/>
      <c r="B566" s="63" t="b">
        <v>0</v>
      </c>
      <c r="C566" s="64">
        <v>559.0</v>
      </c>
      <c r="D566" s="65">
        <v>45565.0</v>
      </c>
      <c r="E566" s="67" t="s">
        <v>543</v>
      </c>
      <c r="F566" s="67" t="s">
        <v>334</v>
      </c>
      <c r="G566" s="69">
        <f>SUMPRODUCT(('⚙️Pengaturan'!$C$3:$C$100=$F566)*('⚙️Pengaturan'!$D$3:$D$100))</f>
        <v>175000</v>
      </c>
      <c r="H566" s="70" t="s">
        <v>28</v>
      </c>
      <c r="I566" s="69"/>
      <c r="J566" s="69">
        <f t="shared" si="2"/>
        <v>175000</v>
      </c>
      <c r="K566" s="71"/>
    </row>
    <row r="567" ht="17.25" customHeight="1">
      <c r="A567" s="205"/>
      <c r="B567" s="206" t="b">
        <v>0</v>
      </c>
      <c r="C567" s="207">
        <v>560.0</v>
      </c>
      <c r="D567" s="208">
        <v>45566.0</v>
      </c>
      <c r="E567" s="209" t="s">
        <v>546</v>
      </c>
      <c r="F567" s="209" t="s">
        <v>334</v>
      </c>
      <c r="G567" s="210">
        <f>SUMPRODUCT(('⚙️Pengaturan'!$C$3:$C$100=$F567)*('⚙️Pengaturan'!$D$3:$D$100))</f>
        <v>175000</v>
      </c>
      <c r="H567" s="211" t="s">
        <v>63</v>
      </c>
      <c r="I567" s="210"/>
      <c r="J567" s="210">
        <f t="shared" si="2"/>
        <v>175000</v>
      </c>
      <c r="K567" s="212"/>
    </row>
    <row r="568" ht="17.25" customHeight="1">
      <c r="A568" s="61"/>
      <c r="B568" s="63" t="b">
        <v>0</v>
      </c>
      <c r="C568" s="64">
        <v>561.0</v>
      </c>
      <c r="D568" s="65">
        <v>45566.0</v>
      </c>
      <c r="E568" s="67" t="s">
        <v>547</v>
      </c>
      <c r="F568" s="67" t="s">
        <v>329</v>
      </c>
      <c r="G568" s="69">
        <f>SUMPRODUCT(('⚙️Pengaturan'!$C$3:$C$100=$F568)*('⚙️Pengaturan'!$D$3:$D$100))</f>
        <v>750000</v>
      </c>
      <c r="H568" s="70" t="s">
        <v>28</v>
      </c>
      <c r="I568" s="69">
        <v>350000.0</v>
      </c>
      <c r="J568" s="69">
        <f t="shared" si="2"/>
        <v>400000</v>
      </c>
      <c r="K568" s="71"/>
    </row>
    <row r="569" ht="17.25" customHeight="1">
      <c r="A569" s="61"/>
      <c r="B569" s="63" t="b">
        <v>0</v>
      </c>
      <c r="C569" s="64">
        <v>562.0</v>
      </c>
      <c r="D569" s="65">
        <v>45566.0</v>
      </c>
      <c r="E569" s="67" t="s">
        <v>548</v>
      </c>
      <c r="F569" s="67" t="s">
        <v>329</v>
      </c>
      <c r="G569" s="69">
        <f>SUMPRODUCT(('⚙️Pengaturan'!$C$3:$C$100=$F569)*('⚙️Pengaturan'!$D$3:$D$100))</f>
        <v>750000</v>
      </c>
      <c r="H569" s="70" t="s">
        <v>28</v>
      </c>
      <c r="I569" s="69">
        <v>450000.0</v>
      </c>
      <c r="J569" s="69">
        <f t="shared" si="2"/>
        <v>300000</v>
      </c>
      <c r="K569" s="71"/>
    </row>
    <row r="570" ht="17.25" customHeight="1">
      <c r="A570" s="205"/>
      <c r="B570" s="206" t="b">
        <v>0</v>
      </c>
      <c r="C570" s="207">
        <v>563.0</v>
      </c>
      <c r="D570" s="208">
        <v>45567.0</v>
      </c>
      <c r="E570" s="209" t="s">
        <v>549</v>
      </c>
      <c r="F570" s="209" t="s">
        <v>329</v>
      </c>
      <c r="G570" s="210">
        <f>SUMPRODUCT(('⚙️Pengaturan'!$C$3:$C$100=$F570)*('⚙️Pengaturan'!$D$3:$D$100))</f>
        <v>750000</v>
      </c>
      <c r="H570" s="211" t="s">
        <v>28</v>
      </c>
      <c r="I570" s="210">
        <v>250000.0</v>
      </c>
      <c r="J570" s="210">
        <f t="shared" si="2"/>
        <v>500000</v>
      </c>
      <c r="K570" s="212"/>
    </row>
    <row r="571" ht="17.25" customHeight="1">
      <c r="A571" s="61"/>
      <c r="B571" s="63" t="b">
        <v>0</v>
      </c>
      <c r="C571" s="64">
        <v>564.0</v>
      </c>
      <c r="D571" s="65">
        <v>45567.0</v>
      </c>
      <c r="E571" s="67" t="s">
        <v>550</v>
      </c>
      <c r="F571" s="67" t="s">
        <v>329</v>
      </c>
      <c r="G571" s="69">
        <f>SUMPRODUCT(('⚙️Pengaturan'!$C$3:$C$100=$F571)*('⚙️Pengaturan'!$D$3:$D$100))</f>
        <v>750000</v>
      </c>
      <c r="H571" s="70" t="s">
        <v>63</v>
      </c>
      <c r="I571" s="69"/>
      <c r="J571" s="69">
        <f t="shared" si="2"/>
        <v>750000</v>
      </c>
      <c r="K571" s="71"/>
    </row>
    <row r="572" ht="17.25" customHeight="1">
      <c r="A572" s="205"/>
      <c r="B572" s="206" t="b">
        <v>0</v>
      </c>
      <c r="C572" s="207">
        <v>565.0</v>
      </c>
      <c r="D572" s="208">
        <v>45568.0</v>
      </c>
      <c r="E572" s="209" t="s">
        <v>551</v>
      </c>
      <c r="F572" s="209" t="s">
        <v>53</v>
      </c>
      <c r="G572" s="210">
        <f>SUMPRODUCT(('⚙️Pengaturan'!$C$3:$C$100=$F572)*('⚙️Pengaturan'!$D$3:$D$100))</f>
        <v>650000</v>
      </c>
      <c r="H572" s="211" t="s">
        <v>63</v>
      </c>
      <c r="I572" s="210"/>
      <c r="J572" s="210">
        <f t="shared" si="2"/>
        <v>650000</v>
      </c>
      <c r="K572" s="212"/>
    </row>
    <row r="573" ht="17.25" customHeight="1">
      <c r="A573" s="61"/>
      <c r="B573" s="63" t="b">
        <v>0</v>
      </c>
      <c r="C573" s="64">
        <v>566.0</v>
      </c>
      <c r="D573" s="65">
        <v>45568.0</v>
      </c>
      <c r="E573" s="67" t="s">
        <v>548</v>
      </c>
      <c r="F573" s="67" t="s">
        <v>329</v>
      </c>
      <c r="G573" s="69">
        <f>SUMPRODUCT(('⚙️Pengaturan'!$C$3:$C$100=$F573)*('⚙️Pengaturan'!$D$3:$D$100))</f>
        <v>750000</v>
      </c>
      <c r="H573" s="70" t="s">
        <v>28</v>
      </c>
      <c r="I573" s="69">
        <v>300000.0</v>
      </c>
      <c r="J573" s="69">
        <f t="shared" si="2"/>
        <v>450000</v>
      </c>
      <c r="K573" s="71"/>
    </row>
    <row r="574" ht="17.25" customHeight="1">
      <c r="A574" s="61"/>
      <c r="B574" s="63" t="b">
        <v>0</v>
      </c>
      <c r="C574" s="64">
        <v>567.0</v>
      </c>
      <c r="D574" s="65">
        <v>45568.0</v>
      </c>
      <c r="E574" s="67" t="s">
        <v>458</v>
      </c>
      <c r="F574" s="67" t="s">
        <v>329</v>
      </c>
      <c r="G574" s="69">
        <f>SUMPRODUCT(('⚙️Pengaturan'!$C$3:$C$100=$F574)*('⚙️Pengaturan'!$D$3:$D$100))</f>
        <v>750000</v>
      </c>
      <c r="H574" s="70" t="s">
        <v>28</v>
      </c>
      <c r="I574" s="69">
        <v>450000.0</v>
      </c>
      <c r="J574" s="69">
        <f t="shared" si="2"/>
        <v>300000</v>
      </c>
      <c r="K574" s="71"/>
    </row>
    <row r="575" ht="17.25" customHeight="1">
      <c r="A575" s="61"/>
      <c r="B575" s="63" t="b">
        <v>0</v>
      </c>
      <c r="C575" s="64">
        <v>568.0</v>
      </c>
      <c r="D575" s="65">
        <v>45568.0</v>
      </c>
      <c r="E575" s="67" t="s">
        <v>552</v>
      </c>
      <c r="F575" s="67" t="s">
        <v>331</v>
      </c>
      <c r="G575" s="69">
        <f>SUMPRODUCT(('⚙️Pengaturan'!$C$3:$C$100=$F575)*('⚙️Pengaturan'!$D$3:$D$100))</f>
        <v>1400000</v>
      </c>
      <c r="H575" s="70" t="s">
        <v>63</v>
      </c>
      <c r="I575" s="69">
        <v>1100000.0</v>
      </c>
      <c r="J575" s="69">
        <f t="shared" si="2"/>
        <v>300000</v>
      </c>
      <c r="K575" s="71"/>
    </row>
    <row r="576" ht="17.25" customHeight="1">
      <c r="A576" s="205"/>
      <c r="B576" s="206" t="b">
        <v>0</v>
      </c>
      <c r="C576" s="207">
        <v>569.0</v>
      </c>
      <c r="D576" s="208">
        <v>45570.0</v>
      </c>
      <c r="E576" s="209" t="s">
        <v>553</v>
      </c>
      <c r="F576" s="209" t="s">
        <v>331</v>
      </c>
      <c r="G576" s="210">
        <f>SUMPRODUCT(('⚙️Pengaturan'!$C$3:$C$100=$F576)*('⚙️Pengaturan'!$D$3:$D$100))</f>
        <v>1400000</v>
      </c>
      <c r="H576" s="211" t="s">
        <v>28</v>
      </c>
      <c r="I576" s="210">
        <v>700000.0</v>
      </c>
      <c r="J576" s="210">
        <f t="shared" si="2"/>
        <v>700000</v>
      </c>
      <c r="K576" s="212"/>
    </row>
    <row r="577" ht="17.25" customHeight="1">
      <c r="A577" s="61"/>
      <c r="B577" s="63" t="b">
        <v>0</v>
      </c>
      <c r="C577" s="64">
        <v>570.0</v>
      </c>
      <c r="D577" s="65">
        <v>45570.0</v>
      </c>
      <c r="E577" s="67" t="s">
        <v>547</v>
      </c>
      <c r="F577" s="67" t="s">
        <v>329</v>
      </c>
      <c r="G577" s="69">
        <f>SUMPRODUCT(('⚙️Pengaturan'!$C$3:$C$100=$F577)*('⚙️Pengaturan'!$D$3:$D$100))</f>
        <v>750000</v>
      </c>
      <c r="H577" s="70" t="s">
        <v>28</v>
      </c>
      <c r="I577" s="69">
        <v>400000.0</v>
      </c>
      <c r="J577" s="69">
        <f t="shared" si="2"/>
        <v>350000</v>
      </c>
      <c r="K577" s="71"/>
    </row>
    <row r="578" ht="17.25" customHeight="1">
      <c r="A578" s="61"/>
      <c r="B578" s="63" t="b">
        <v>0</v>
      </c>
      <c r="C578" s="64">
        <v>571.0</v>
      </c>
      <c r="D578" s="65">
        <v>45570.0</v>
      </c>
      <c r="E578" s="67" t="s">
        <v>416</v>
      </c>
      <c r="F578" s="67" t="s">
        <v>44</v>
      </c>
      <c r="G578" s="69">
        <f>SUMPRODUCT(('⚙️Pengaturan'!$C$3:$C$100=$F578)*('⚙️Pengaturan'!$D$3:$D$100))</f>
        <v>150000</v>
      </c>
      <c r="H578" s="70" t="s">
        <v>28</v>
      </c>
      <c r="I578" s="69"/>
      <c r="J578" s="69">
        <f t="shared" si="2"/>
        <v>150000</v>
      </c>
      <c r="K578" s="71"/>
    </row>
    <row r="579" ht="17.25" customHeight="1">
      <c r="A579" s="61"/>
      <c r="B579" s="63" t="b">
        <v>0</v>
      </c>
      <c r="C579" s="64">
        <v>572.0</v>
      </c>
      <c r="D579" s="65">
        <v>45570.0</v>
      </c>
      <c r="E579" s="67" t="s">
        <v>549</v>
      </c>
      <c r="F579" s="67" t="s">
        <v>329</v>
      </c>
      <c r="G579" s="69">
        <f>SUMPRODUCT(('⚙️Pengaturan'!$C$3:$C$100=$F579)*('⚙️Pengaturan'!$D$3:$D$100))</f>
        <v>750000</v>
      </c>
      <c r="H579" s="70" t="s">
        <v>28</v>
      </c>
      <c r="I579" s="69">
        <v>500000.0</v>
      </c>
      <c r="J579" s="69">
        <f t="shared" si="2"/>
        <v>250000</v>
      </c>
      <c r="K579" s="71"/>
    </row>
    <row r="580" ht="17.25" customHeight="1">
      <c r="A580" s="61"/>
      <c r="B580" s="63" t="b">
        <v>0</v>
      </c>
      <c r="C580" s="64">
        <v>573.0</v>
      </c>
      <c r="D580" s="65">
        <v>45570.0</v>
      </c>
      <c r="E580" s="67" t="s">
        <v>458</v>
      </c>
      <c r="F580" s="67" t="s">
        <v>329</v>
      </c>
      <c r="G580" s="69">
        <f>SUMPRODUCT(('⚙️Pengaturan'!$C$3:$C$100=$F580)*('⚙️Pengaturan'!$D$3:$D$100))</f>
        <v>750000</v>
      </c>
      <c r="H580" s="70" t="s">
        <v>28</v>
      </c>
      <c r="I580" s="69">
        <v>300000.0</v>
      </c>
      <c r="J580" s="69">
        <f t="shared" si="2"/>
        <v>450000</v>
      </c>
      <c r="K580" s="71"/>
    </row>
    <row r="581" ht="17.25" customHeight="1">
      <c r="A581" s="61"/>
      <c r="B581" s="63" t="b">
        <v>0</v>
      </c>
      <c r="C581" s="64">
        <v>574.0</v>
      </c>
      <c r="D581" s="65">
        <v>45570.0</v>
      </c>
      <c r="E581" s="67" t="s">
        <v>554</v>
      </c>
      <c r="F581" s="67" t="s">
        <v>334</v>
      </c>
      <c r="G581" s="69">
        <f>SUMPRODUCT(('⚙️Pengaturan'!$C$3:$C$100=$F581)*('⚙️Pengaturan'!$D$3:$D$100))</f>
        <v>175000</v>
      </c>
      <c r="H581" s="70" t="s">
        <v>28</v>
      </c>
      <c r="I581" s="69"/>
      <c r="J581" s="69">
        <f t="shared" si="2"/>
        <v>175000</v>
      </c>
      <c r="K581" s="71"/>
    </row>
    <row r="582" ht="17.25" customHeight="1">
      <c r="A582" s="205"/>
      <c r="B582" s="206" t="b">
        <v>0</v>
      </c>
      <c r="C582" s="207">
        <v>575.0</v>
      </c>
      <c r="D582" s="208">
        <v>45571.0</v>
      </c>
      <c r="E582" s="209" t="s">
        <v>555</v>
      </c>
      <c r="F582" s="209" t="s">
        <v>334</v>
      </c>
      <c r="G582" s="210">
        <f>SUMPRODUCT(('⚙️Pengaturan'!$C$3:$C$100=$F582)*('⚙️Pengaturan'!$D$3:$D$100))</f>
        <v>175000</v>
      </c>
      <c r="H582" s="211" t="s">
        <v>28</v>
      </c>
      <c r="I582" s="210"/>
      <c r="J582" s="210">
        <f t="shared" si="2"/>
        <v>175000</v>
      </c>
      <c r="K582" s="212"/>
    </row>
    <row r="583" ht="17.25" customHeight="1">
      <c r="A583" s="61"/>
      <c r="B583" s="63" t="b">
        <v>0</v>
      </c>
      <c r="C583" s="64">
        <v>576.0</v>
      </c>
      <c r="D583" s="65">
        <v>45571.0</v>
      </c>
      <c r="E583" s="67" t="s">
        <v>556</v>
      </c>
      <c r="F583" s="67" t="s">
        <v>334</v>
      </c>
      <c r="G583" s="69">
        <f>SUMPRODUCT(('⚙️Pengaturan'!$C$3:$C$100=$F583)*('⚙️Pengaturan'!$D$3:$D$100))</f>
        <v>175000</v>
      </c>
      <c r="H583" s="70" t="s">
        <v>63</v>
      </c>
      <c r="I583" s="69"/>
      <c r="J583" s="69">
        <f t="shared" si="2"/>
        <v>175000</v>
      </c>
      <c r="K583" s="71"/>
    </row>
    <row r="584" ht="17.25" customHeight="1">
      <c r="A584" s="205"/>
      <c r="B584" s="206" t="b">
        <v>0</v>
      </c>
      <c r="C584" s="207">
        <v>577.0</v>
      </c>
      <c r="D584" s="208">
        <v>45572.0</v>
      </c>
      <c r="E584" s="209" t="s">
        <v>553</v>
      </c>
      <c r="F584" s="209" t="s">
        <v>331</v>
      </c>
      <c r="G584" s="210">
        <f>SUMPRODUCT(('⚙️Pengaturan'!$C$3:$C$100=$F584)*('⚙️Pengaturan'!$D$3:$D$100))</f>
        <v>1400000</v>
      </c>
      <c r="H584" s="211" t="s">
        <v>28</v>
      </c>
      <c r="I584" s="210">
        <v>700000.0</v>
      </c>
      <c r="J584" s="210">
        <f t="shared" si="2"/>
        <v>700000</v>
      </c>
      <c r="K584" s="212"/>
    </row>
    <row r="585" ht="17.25" customHeight="1">
      <c r="A585" s="61"/>
      <c r="B585" s="63" t="b">
        <v>0</v>
      </c>
      <c r="C585" s="64">
        <v>578.0</v>
      </c>
      <c r="D585" s="65">
        <v>45572.0</v>
      </c>
      <c r="E585" s="67" t="s">
        <v>552</v>
      </c>
      <c r="F585" s="67" t="s">
        <v>331</v>
      </c>
      <c r="G585" s="69">
        <f>SUMPRODUCT(('⚙️Pengaturan'!$C$3:$C$100=$F585)*('⚙️Pengaturan'!$D$3:$D$100))</f>
        <v>1400000</v>
      </c>
      <c r="H585" s="70" t="s">
        <v>63</v>
      </c>
      <c r="I585" s="69">
        <v>300000.0</v>
      </c>
      <c r="J585" s="69">
        <f t="shared" si="2"/>
        <v>1100000</v>
      </c>
      <c r="K585" s="71"/>
    </row>
    <row r="586" ht="17.25" customHeight="1">
      <c r="A586" s="61"/>
      <c r="B586" s="63" t="b">
        <v>0</v>
      </c>
      <c r="C586" s="64">
        <v>579.0</v>
      </c>
      <c r="D586" s="65">
        <v>45572.0</v>
      </c>
      <c r="E586" s="67" t="s">
        <v>557</v>
      </c>
      <c r="F586" s="67" t="s">
        <v>334</v>
      </c>
      <c r="G586" s="69">
        <f>SUMPRODUCT(('⚙️Pengaturan'!$C$3:$C$100=$F586)*('⚙️Pengaturan'!$D$3:$D$100))</f>
        <v>175000</v>
      </c>
      <c r="H586" s="70" t="s">
        <v>28</v>
      </c>
      <c r="I586" s="69"/>
      <c r="J586" s="69">
        <f t="shared" si="2"/>
        <v>175000</v>
      </c>
      <c r="K586" s="71"/>
    </row>
    <row r="587" ht="17.25" customHeight="1">
      <c r="A587" s="205"/>
      <c r="B587" s="206" t="b">
        <v>0</v>
      </c>
      <c r="C587" s="207">
        <v>580.0</v>
      </c>
      <c r="D587" s="208">
        <v>45573.0</v>
      </c>
      <c r="E587" s="209" t="s">
        <v>43</v>
      </c>
      <c r="F587" s="209" t="s">
        <v>334</v>
      </c>
      <c r="G587" s="210">
        <f>SUMPRODUCT(('⚙️Pengaturan'!$C$3:$C$100=$F587)*('⚙️Pengaturan'!$D$3:$D$100))</f>
        <v>175000</v>
      </c>
      <c r="H587" s="211" t="s">
        <v>28</v>
      </c>
      <c r="I587" s="210"/>
      <c r="J587" s="210">
        <f t="shared" si="2"/>
        <v>175000</v>
      </c>
      <c r="K587" s="212"/>
    </row>
    <row r="588" ht="17.25" customHeight="1">
      <c r="A588" s="61"/>
      <c r="B588" s="63" t="b">
        <v>0</v>
      </c>
      <c r="C588" s="64">
        <v>581.0</v>
      </c>
      <c r="D588" s="65">
        <v>45573.0</v>
      </c>
      <c r="E588" s="67" t="s">
        <v>558</v>
      </c>
      <c r="F588" s="67" t="s">
        <v>334</v>
      </c>
      <c r="G588" s="69">
        <f>SUMPRODUCT(('⚙️Pengaturan'!$C$3:$C$100=$F588)*('⚙️Pengaturan'!$D$3:$D$100))</f>
        <v>175000</v>
      </c>
      <c r="H588" s="70" t="s">
        <v>28</v>
      </c>
      <c r="I588" s="69"/>
      <c r="J588" s="69">
        <f t="shared" si="2"/>
        <v>175000</v>
      </c>
      <c r="K588" s="71"/>
    </row>
    <row r="589" ht="17.25" customHeight="1">
      <c r="A589" s="61"/>
      <c r="B589" s="63" t="b">
        <v>0</v>
      </c>
      <c r="C589" s="64">
        <v>582.0</v>
      </c>
      <c r="D589" s="65">
        <v>45573.0</v>
      </c>
      <c r="E589" s="67" t="s">
        <v>559</v>
      </c>
      <c r="F589" s="67" t="s">
        <v>331</v>
      </c>
      <c r="G589" s="69">
        <f>SUMPRODUCT(('⚙️Pengaturan'!$C$3:$C$100=$F589)*('⚙️Pengaturan'!$D$3:$D$100))</f>
        <v>1400000</v>
      </c>
      <c r="H589" s="70" t="s">
        <v>28</v>
      </c>
      <c r="I589" s="69">
        <v>300000.0</v>
      </c>
      <c r="J589" s="69">
        <f t="shared" si="2"/>
        <v>1100000</v>
      </c>
      <c r="K589" s="71"/>
    </row>
    <row r="590" ht="17.25" customHeight="1">
      <c r="A590" s="205"/>
      <c r="B590" s="206" t="b">
        <v>0</v>
      </c>
      <c r="C590" s="207">
        <v>583.0</v>
      </c>
      <c r="D590" s="208">
        <v>45574.0</v>
      </c>
      <c r="E590" s="209" t="s">
        <v>560</v>
      </c>
      <c r="F590" s="209" t="s">
        <v>334</v>
      </c>
      <c r="G590" s="210">
        <f>SUMPRODUCT(('⚙️Pengaturan'!$C$3:$C$100=$F590)*('⚙️Pengaturan'!$D$3:$D$100))</f>
        <v>175000</v>
      </c>
      <c r="H590" s="211" t="s">
        <v>28</v>
      </c>
      <c r="I590" s="210"/>
      <c r="J590" s="210">
        <f t="shared" si="2"/>
        <v>175000</v>
      </c>
      <c r="K590" s="212"/>
    </row>
    <row r="591" ht="17.25" customHeight="1">
      <c r="A591" s="61"/>
      <c r="B591" s="63" t="b">
        <v>0</v>
      </c>
      <c r="C591" s="64">
        <v>584.0</v>
      </c>
      <c r="D591" s="65">
        <v>45574.0</v>
      </c>
      <c r="E591" s="67" t="s">
        <v>561</v>
      </c>
      <c r="F591" s="67" t="s">
        <v>334</v>
      </c>
      <c r="G591" s="69">
        <f>SUMPRODUCT(('⚙️Pengaturan'!$C$3:$C$100=$F591)*('⚙️Pengaturan'!$D$3:$D$100))</f>
        <v>175000</v>
      </c>
      <c r="H591" s="70" t="s">
        <v>28</v>
      </c>
      <c r="I591" s="69"/>
      <c r="J591" s="69">
        <f t="shared" si="2"/>
        <v>175000</v>
      </c>
      <c r="K591" s="71"/>
    </row>
    <row r="592" ht="17.25" customHeight="1">
      <c r="A592" s="205"/>
      <c r="B592" s="206" t="b">
        <v>0</v>
      </c>
      <c r="C592" s="207">
        <v>585.0</v>
      </c>
      <c r="D592" s="208">
        <v>45575.0</v>
      </c>
      <c r="E592" s="209" t="s">
        <v>456</v>
      </c>
      <c r="F592" s="209" t="s">
        <v>334</v>
      </c>
      <c r="G592" s="210">
        <f>SUMPRODUCT(('⚙️Pengaturan'!$C$3:$C$100=$F592)*('⚙️Pengaturan'!$D$3:$D$100))</f>
        <v>175000</v>
      </c>
      <c r="H592" s="211" t="s">
        <v>63</v>
      </c>
      <c r="I592" s="210"/>
      <c r="J592" s="210">
        <f t="shared" si="2"/>
        <v>175000</v>
      </c>
      <c r="K592" s="212"/>
    </row>
    <row r="593" ht="17.25" customHeight="1">
      <c r="A593" s="61"/>
      <c r="B593" s="63" t="b">
        <v>0</v>
      </c>
      <c r="C593" s="64">
        <v>586.0</v>
      </c>
      <c r="D593" s="65">
        <v>45575.0</v>
      </c>
      <c r="E593" s="67" t="s">
        <v>531</v>
      </c>
      <c r="F593" s="67" t="s">
        <v>329</v>
      </c>
      <c r="G593" s="69">
        <f>SUMPRODUCT(('⚙️Pengaturan'!$C$3:$C$100=$F593)*('⚙️Pengaturan'!$D$3:$D$100))</f>
        <v>750000</v>
      </c>
      <c r="H593" s="70" t="s">
        <v>28</v>
      </c>
      <c r="I593" s="69">
        <v>250000.0</v>
      </c>
      <c r="J593" s="69">
        <f t="shared" si="2"/>
        <v>500000</v>
      </c>
      <c r="K593" s="71"/>
    </row>
    <row r="594" ht="17.25" customHeight="1">
      <c r="A594" s="61"/>
      <c r="B594" s="63" t="b">
        <v>0</v>
      </c>
      <c r="C594" s="64">
        <v>587.0</v>
      </c>
      <c r="D594" s="65">
        <v>45575.0</v>
      </c>
      <c r="E594" s="67" t="s">
        <v>557</v>
      </c>
      <c r="F594" s="67" t="s">
        <v>334</v>
      </c>
      <c r="G594" s="69">
        <f>SUMPRODUCT(('⚙️Pengaturan'!$C$3:$C$100=$F594)*('⚙️Pengaturan'!$D$3:$D$100))</f>
        <v>175000</v>
      </c>
      <c r="H594" s="70" t="s">
        <v>28</v>
      </c>
      <c r="I594" s="69"/>
      <c r="J594" s="69">
        <f t="shared" si="2"/>
        <v>175000</v>
      </c>
      <c r="K594" s="71"/>
    </row>
    <row r="595" ht="17.25" customHeight="1">
      <c r="A595" s="61"/>
      <c r="B595" s="63" t="b">
        <v>0</v>
      </c>
      <c r="C595" s="64">
        <v>588.0</v>
      </c>
      <c r="D595" s="65">
        <v>45575.0</v>
      </c>
      <c r="E595" s="67" t="s">
        <v>556</v>
      </c>
      <c r="F595" s="67" t="s">
        <v>334</v>
      </c>
      <c r="G595" s="69">
        <f>SUMPRODUCT(('⚙️Pengaturan'!$C$3:$C$100=$F595)*('⚙️Pengaturan'!$D$3:$D$100))</f>
        <v>175000</v>
      </c>
      <c r="H595" s="70" t="s">
        <v>28</v>
      </c>
      <c r="I595" s="69"/>
      <c r="J595" s="69">
        <f t="shared" si="2"/>
        <v>175000</v>
      </c>
      <c r="K595" s="71"/>
    </row>
    <row r="596" ht="17.25" customHeight="1">
      <c r="A596" s="205"/>
      <c r="B596" s="206" t="b">
        <v>0</v>
      </c>
      <c r="C596" s="207">
        <v>589.0</v>
      </c>
      <c r="D596" s="208">
        <v>45577.0</v>
      </c>
      <c r="E596" s="209" t="s">
        <v>562</v>
      </c>
      <c r="F596" s="209" t="s">
        <v>334</v>
      </c>
      <c r="G596" s="210">
        <f>SUMPRODUCT(('⚙️Pengaturan'!$C$3:$C$100=$F596)*('⚙️Pengaturan'!$D$3:$D$100))</f>
        <v>175000</v>
      </c>
      <c r="H596" s="211" t="s">
        <v>28</v>
      </c>
      <c r="I596" s="210"/>
      <c r="J596" s="210">
        <f t="shared" si="2"/>
        <v>175000</v>
      </c>
      <c r="K596" s="212"/>
    </row>
    <row r="597" ht="17.25" customHeight="1">
      <c r="A597" s="61"/>
      <c r="B597" s="63" t="b">
        <v>0</v>
      </c>
      <c r="C597" s="64">
        <v>590.0</v>
      </c>
      <c r="D597" s="65">
        <v>45577.0</v>
      </c>
      <c r="E597" s="67" t="s">
        <v>563</v>
      </c>
      <c r="F597" s="67" t="s">
        <v>334</v>
      </c>
      <c r="G597" s="69">
        <f>SUMPRODUCT(('⚙️Pengaturan'!$C$3:$C$100=$F597)*('⚙️Pengaturan'!$D$3:$D$100))</f>
        <v>175000</v>
      </c>
      <c r="H597" s="70" t="s">
        <v>28</v>
      </c>
      <c r="I597" s="69"/>
      <c r="J597" s="69">
        <f t="shared" si="2"/>
        <v>175000</v>
      </c>
      <c r="K597" s="71"/>
    </row>
    <row r="598" ht="17.25" customHeight="1">
      <c r="A598" s="205"/>
      <c r="B598" s="206" t="b">
        <v>0</v>
      </c>
      <c r="C598" s="207">
        <v>591.0</v>
      </c>
      <c r="D598" s="208">
        <v>45578.0</v>
      </c>
      <c r="E598" s="209" t="s">
        <v>422</v>
      </c>
      <c r="F598" s="209" t="s">
        <v>334</v>
      </c>
      <c r="G598" s="210">
        <f>SUMPRODUCT(('⚙️Pengaturan'!$C$3:$C$100=$F598)*('⚙️Pengaturan'!$D$3:$D$100))</f>
        <v>175000</v>
      </c>
      <c r="H598" s="211" t="s">
        <v>28</v>
      </c>
      <c r="I598" s="210"/>
      <c r="J598" s="210">
        <f t="shared" si="2"/>
        <v>175000</v>
      </c>
      <c r="K598" s="212"/>
    </row>
    <row r="599" ht="17.25" customHeight="1">
      <c r="A599" s="61"/>
      <c r="B599" s="63" t="b">
        <v>0</v>
      </c>
      <c r="C599" s="64">
        <v>592.0</v>
      </c>
      <c r="D599" s="65">
        <v>45578.0</v>
      </c>
      <c r="E599" s="67" t="s">
        <v>456</v>
      </c>
      <c r="F599" s="67" t="s">
        <v>334</v>
      </c>
      <c r="G599" s="69">
        <f>SUMPRODUCT(('⚙️Pengaturan'!$C$3:$C$100=$F599)*('⚙️Pengaturan'!$D$3:$D$100))</f>
        <v>175000</v>
      </c>
      <c r="H599" s="70" t="s">
        <v>28</v>
      </c>
      <c r="I599" s="69"/>
      <c r="J599" s="69">
        <f t="shared" si="2"/>
        <v>175000</v>
      </c>
      <c r="K599" s="71"/>
    </row>
    <row r="600" ht="17.25" customHeight="1">
      <c r="A600" s="61"/>
      <c r="B600" s="63" t="b">
        <v>0</v>
      </c>
      <c r="C600" s="64">
        <v>593.0</v>
      </c>
      <c r="D600" s="65">
        <v>45578.0</v>
      </c>
      <c r="E600" s="67" t="s">
        <v>564</v>
      </c>
      <c r="F600" s="67" t="s">
        <v>329</v>
      </c>
      <c r="G600" s="69">
        <f>SUMPRODUCT(('⚙️Pengaturan'!$C$3:$C$100=$F600)*('⚙️Pengaturan'!$D$3:$D$100))</f>
        <v>750000</v>
      </c>
      <c r="H600" s="70" t="s">
        <v>28</v>
      </c>
      <c r="I600" s="69">
        <v>250000.0</v>
      </c>
      <c r="J600" s="69">
        <f t="shared" si="2"/>
        <v>500000</v>
      </c>
      <c r="K600" s="71"/>
    </row>
    <row r="601" ht="17.25" customHeight="1">
      <c r="A601" s="61"/>
      <c r="B601" s="63" t="b">
        <v>0</v>
      </c>
      <c r="C601" s="64">
        <v>594.0</v>
      </c>
      <c r="D601" s="65">
        <v>45578.0</v>
      </c>
      <c r="E601" s="67" t="s">
        <v>565</v>
      </c>
      <c r="F601" s="67" t="s">
        <v>334</v>
      </c>
      <c r="G601" s="69">
        <f>SUMPRODUCT(('⚙️Pengaturan'!$C$3:$C$100=$F601)*('⚙️Pengaturan'!$D$3:$D$100))</f>
        <v>175000</v>
      </c>
      <c r="H601" s="70" t="s">
        <v>28</v>
      </c>
      <c r="I601" s="69"/>
      <c r="J601" s="69">
        <f t="shared" si="2"/>
        <v>175000</v>
      </c>
      <c r="K601" s="71"/>
    </row>
    <row r="602" ht="17.25" customHeight="1">
      <c r="A602" s="61"/>
      <c r="B602" s="63" t="b">
        <v>0</v>
      </c>
      <c r="C602" s="64">
        <v>595.0</v>
      </c>
      <c r="D602" s="65">
        <v>45578.0</v>
      </c>
      <c r="E602" s="67" t="s">
        <v>458</v>
      </c>
      <c r="F602" s="67" t="s">
        <v>329</v>
      </c>
      <c r="G602" s="69">
        <f>SUMPRODUCT(('⚙️Pengaturan'!$C$3:$C$100=$F602)*('⚙️Pengaturan'!$D$3:$D$100))</f>
        <v>750000</v>
      </c>
      <c r="H602" s="70" t="s">
        <v>28</v>
      </c>
      <c r="I602" s="69">
        <v>350000.0</v>
      </c>
      <c r="J602" s="69">
        <f t="shared" si="2"/>
        <v>400000</v>
      </c>
      <c r="K602" s="71"/>
    </row>
    <row r="603" ht="17.25" customHeight="1">
      <c r="A603" s="205"/>
      <c r="B603" s="206" t="b">
        <v>0</v>
      </c>
      <c r="C603" s="207">
        <v>596.0</v>
      </c>
      <c r="D603" s="208">
        <v>45579.0</v>
      </c>
      <c r="E603" s="209" t="s">
        <v>566</v>
      </c>
      <c r="F603" s="209" t="s">
        <v>329</v>
      </c>
      <c r="G603" s="210">
        <f>SUMPRODUCT(('⚙️Pengaturan'!$C$3:$C$100=$F603)*('⚙️Pengaturan'!$D$3:$D$100))</f>
        <v>750000</v>
      </c>
      <c r="H603" s="211" t="s">
        <v>28</v>
      </c>
      <c r="I603" s="210"/>
      <c r="J603" s="210">
        <f t="shared" si="2"/>
        <v>750000</v>
      </c>
      <c r="K603" s="212"/>
    </row>
    <row r="604" ht="17.25" customHeight="1">
      <c r="A604" s="61"/>
      <c r="B604" s="63" t="b">
        <v>0</v>
      </c>
      <c r="C604" s="64">
        <v>597.0</v>
      </c>
      <c r="D604" s="65">
        <v>45579.0</v>
      </c>
      <c r="E604" s="67" t="s">
        <v>560</v>
      </c>
      <c r="F604" s="67" t="s">
        <v>329</v>
      </c>
      <c r="G604" s="69">
        <f>SUMPRODUCT(('⚙️Pengaturan'!$C$3:$C$100=$F604)*('⚙️Pengaturan'!$D$3:$D$100))</f>
        <v>750000</v>
      </c>
      <c r="H604" s="70" t="s">
        <v>28</v>
      </c>
      <c r="I604" s="69">
        <v>400000.0</v>
      </c>
      <c r="J604" s="69">
        <f t="shared" si="2"/>
        <v>350000</v>
      </c>
      <c r="K604" s="71"/>
    </row>
    <row r="605" ht="17.25" customHeight="1">
      <c r="A605" s="61"/>
      <c r="B605" s="63" t="b">
        <v>0</v>
      </c>
      <c r="C605" s="64">
        <v>598.0</v>
      </c>
      <c r="D605" s="65">
        <v>45579.0</v>
      </c>
      <c r="E605" s="67" t="s">
        <v>567</v>
      </c>
      <c r="F605" s="67" t="s">
        <v>336</v>
      </c>
      <c r="G605" s="69">
        <f>SUMPRODUCT(('⚙️Pengaturan'!$C$3:$C$100=$F605)*('⚙️Pengaturan'!$D$3:$D$100))</f>
        <v>225000</v>
      </c>
      <c r="H605" s="70" t="s">
        <v>28</v>
      </c>
      <c r="I605" s="69"/>
      <c r="J605" s="69">
        <f t="shared" si="2"/>
        <v>225000</v>
      </c>
      <c r="K605" s="71"/>
    </row>
    <row r="606" ht="17.25" customHeight="1">
      <c r="A606" s="61"/>
      <c r="B606" s="63" t="b">
        <v>0</v>
      </c>
      <c r="C606" s="64">
        <v>599.0</v>
      </c>
      <c r="D606" s="65">
        <v>45579.0</v>
      </c>
      <c r="E606" s="67" t="s">
        <v>568</v>
      </c>
      <c r="F606" s="67" t="s">
        <v>334</v>
      </c>
      <c r="G606" s="69">
        <f>SUMPRODUCT(('⚙️Pengaturan'!$C$3:$C$100=$F606)*('⚙️Pengaturan'!$D$3:$D$100))</f>
        <v>175000</v>
      </c>
      <c r="H606" s="70" t="s">
        <v>63</v>
      </c>
      <c r="I606" s="69"/>
      <c r="J606" s="69">
        <f t="shared" si="2"/>
        <v>175000</v>
      </c>
      <c r="K606" s="71"/>
    </row>
    <row r="607" ht="17.25" customHeight="1">
      <c r="A607" s="61"/>
      <c r="B607" s="63" t="b">
        <v>0</v>
      </c>
      <c r="C607" s="64">
        <v>600.0</v>
      </c>
      <c r="D607" s="65">
        <v>45579.0</v>
      </c>
      <c r="E607" s="67" t="s">
        <v>569</v>
      </c>
      <c r="F607" s="67" t="s">
        <v>334</v>
      </c>
      <c r="G607" s="69">
        <f>SUMPRODUCT(('⚙️Pengaturan'!$C$3:$C$100=$F607)*('⚙️Pengaturan'!$D$3:$D$100))</f>
        <v>175000</v>
      </c>
      <c r="H607" s="70" t="s">
        <v>63</v>
      </c>
      <c r="I607" s="69"/>
      <c r="J607" s="69">
        <f t="shared" si="2"/>
        <v>175000</v>
      </c>
      <c r="K607" s="71"/>
    </row>
    <row r="608" ht="17.25" customHeight="1">
      <c r="A608" s="205"/>
      <c r="B608" s="206" t="b">
        <v>0</v>
      </c>
      <c r="C608" s="207">
        <v>601.0</v>
      </c>
      <c r="D608" s="208">
        <v>45580.0</v>
      </c>
      <c r="E608" s="209" t="s">
        <v>531</v>
      </c>
      <c r="F608" s="209" t="s">
        <v>329</v>
      </c>
      <c r="G608" s="210">
        <f>SUMPRODUCT(('⚙️Pengaturan'!$C$3:$C$100=$F608)*('⚙️Pengaturan'!$D$3:$D$100))</f>
        <v>750000</v>
      </c>
      <c r="H608" s="211" t="s">
        <v>28</v>
      </c>
      <c r="I608" s="210">
        <v>500000.0</v>
      </c>
      <c r="J608" s="210">
        <f t="shared" si="2"/>
        <v>250000</v>
      </c>
      <c r="K608" s="212"/>
    </row>
    <row r="609" ht="17.25" customHeight="1">
      <c r="A609" s="61"/>
      <c r="B609" s="63" t="b">
        <v>0</v>
      </c>
      <c r="C609" s="64">
        <v>602.0</v>
      </c>
      <c r="D609" s="65">
        <v>45580.0</v>
      </c>
      <c r="E609" s="67" t="s">
        <v>570</v>
      </c>
      <c r="F609" s="67" t="s">
        <v>334</v>
      </c>
      <c r="G609" s="69">
        <f>SUMPRODUCT(('⚙️Pengaturan'!$C$3:$C$100=$F609)*('⚙️Pengaturan'!$D$3:$D$100))</f>
        <v>175000</v>
      </c>
      <c r="H609" s="70" t="s">
        <v>28</v>
      </c>
      <c r="I609" s="69"/>
      <c r="J609" s="69">
        <f t="shared" si="2"/>
        <v>175000</v>
      </c>
      <c r="K609" s="71"/>
    </row>
    <row r="610" ht="17.25" customHeight="1">
      <c r="A610" s="61"/>
      <c r="B610" s="63" t="b">
        <v>0</v>
      </c>
      <c r="C610" s="64">
        <v>603.0</v>
      </c>
      <c r="D610" s="65">
        <v>45580.0</v>
      </c>
      <c r="E610" s="67" t="s">
        <v>558</v>
      </c>
      <c r="F610" s="67" t="s">
        <v>334</v>
      </c>
      <c r="G610" s="69">
        <f>SUMPRODUCT(('⚙️Pengaturan'!$C$3:$C$100=$F610)*('⚙️Pengaturan'!$D$3:$D$100))</f>
        <v>175000</v>
      </c>
      <c r="H610" s="70" t="s">
        <v>28</v>
      </c>
      <c r="I610" s="69"/>
      <c r="J610" s="69">
        <f t="shared" si="2"/>
        <v>175000</v>
      </c>
      <c r="K610" s="71"/>
    </row>
    <row r="611" ht="17.25" customHeight="1">
      <c r="A611" s="61"/>
      <c r="B611" s="63" t="b">
        <v>0</v>
      </c>
      <c r="C611" s="64">
        <v>604.0</v>
      </c>
      <c r="D611" s="65">
        <v>45580.0</v>
      </c>
      <c r="E611" s="67" t="s">
        <v>561</v>
      </c>
      <c r="F611" s="67" t="s">
        <v>334</v>
      </c>
      <c r="G611" s="69">
        <f>SUMPRODUCT(('⚙️Pengaturan'!$C$3:$C$100=$F611)*('⚙️Pengaturan'!$D$3:$D$100))</f>
        <v>175000</v>
      </c>
      <c r="H611" s="70" t="s">
        <v>28</v>
      </c>
      <c r="I611" s="69"/>
      <c r="J611" s="69">
        <f t="shared" si="2"/>
        <v>175000</v>
      </c>
      <c r="K611" s="71"/>
    </row>
    <row r="612" ht="17.25" customHeight="1">
      <c r="A612" s="61"/>
      <c r="B612" s="63" t="b">
        <v>0</v>
      </c>
      <c r="C612" s="64">
        <v>605.0</v>
      </c>
      <c r="D612" s="65">
        <v>45580.0</v>
      </c>
      <c r="E612" s="67" t="s">
        <v>571</v>
      </c>
      <c r="F612" s="67" t="s">
        <v>337</v>
      </c>
      <c r="G612" s="69">
        <f>SUMPRODUCT(('⚙️Pengaturan'!$C$3:$C$100=$F612)*('⚙️Pengaturan'!$D$3:$D$100))</f>
        <v>275000</v>
      </c>
      <c r="H612" s="70" t="s">
        <v>28</v>
      </c>
      <c r="I612" s="69"/>
      <c r="J612" s="69">
        <f t="shared" si="2"/>
        <v>275000</v>
      </c>
      <c r="K612" s="71"/>
    </row>
    <row r="613" ht="17.25" customHeight="1">
      <c r="A613" s="61"/>
      <c r="B613" s="63" t="b">
        <v>0</v>
      </c>
      <c r="C613" s="64">
        <v>606.0</v>
      </c>
      <c r="D613" s="65">
        <v>45580.0</v>
      </c>
      <c r="E613" s="67" t="s">
        <v>572</v>
      </c>
      <c r="F613" s="67" t="s">
        <v>329</v>
      </c>
      <c r="G613" s="69">
        <f>SUMPRODUCT(('⚙️Pengaturan'!$C$3:$C$100=$F613)*('⚙️Pengaturan'!$D$3:$D$100))</f>
        <v>750000</v>
      </c>
      <c r="H613" s="70" t="s">
        <v>28</v>
      </c>
      <c r="I613" s="69">
        <v>450000.0</v>
      </c>
      <c r="J613" s="69">
        <f t="shared" si="2"/>
        <v>300000</v>
      </c>
      <c r="K613" s="71"/>
    </row>
    <row r="614" ht="17.25" customHeight="1">
      <c r="A614" s="205"/>
      <c r="B614" s="206" t="b">
        <v>0</v>
      </c>
      <c r="C614" s="207">
        <v>607.0</v>
      </c>
      <c r="D614" s="208">
        <v>45581.0</v>
      </c>
      <c r="E614" s="209" t="s">
        <v>416</v>
      </c>
      <c r="F614" s="209" t="s">
        <v>44</v>
      </c>
      <c r="G614" s="210">
        <f>SUMPRODUCT(('⚙️Pengaturan'!$C$3:$C$100=$F614)*('⚙️Pengaturan'!$D$3:$D$100))</f>
        <v>150000</v>
      </c>
      <c r="H614" s="211" t="s">
        <v>28</v>
      </c>
      <c r="I614" s="210"/>
      <c r="J614" s="210">
        <f t="shared" si="2"/>
        <v>150000</v>
      </c>
      <c r="K614" s="212"/>
    </row>
    <row r="615" ht="17.25" customHeight="1">
      <c r="A615" s="61"/>
      <c r="B615" s="63" t="b">
        <v>0</v>
      </c>
      <c r="C615" s="64">
        <v>608.0</v>
      </c>
      <c r="D615" s="65">
        <v>45581.0</v>
      </c>
      <c r="E615" s="67" t="s">
        <v>560</v>
      </c>
      <c r="F615" s="67" t="s">
        <v>329</v>
      </c>
      <c r="G615" s="69">
        <f>SUMPRODUCT(('⚙️Pengaturan'!$C$3:$C$100=$F615)*('⚙️Pengaturan'!$D$3:$D$100))</f>
        <v>750000</v>
      </c>
      <c r="H615" s="70" t="s">
        <v>28</v>
      </c>
      <c r="I615" s="69">
        <v>350000.0</v>
      </c>
      <c r="J615" s="69">
        <f t="shared" si="2"/>
        <v>400000</v>
      </c>
      <c r="K615" s="71"/>
    </row>
    <row r="616" ht="17.25" customHeight="1">
      <c r="A616" s="61"/>
      <c r="B616" s="63" t="b">
        <v>0</v>
      </c>
      <c r="C616" s="64">
        <v>609.0</v>
      </c>
      <c r="D616" s="65">
        <v>45581.0</v>
      </c>
      <c r="E616" s="67" t="s">
        <v>573</v>
      </c>
      <c r="F616" s="67" t="s">
        <v>329</v>
      </c>
      <c r="G616" s="69">
        <f>SUMPRODUCT(('⚙️Pengaturan'!$C$3:$C$100=$F616)*('⚙️Pengaturan'!$D$3:$D$100))</f>
        <v>750000</v>
      </c>
      <c r="H616" s="70" t="s">
        <v>63</v>
      </c>
      <c r="I616" s="69">
        <v>450000.0</v>
      </c>
      <c r="J616" s="69">
        <f t="shared" si="2"/>
        <v>300000</v>
      </c>
      <c r="K616" s="71"/>
    </row>
    <row r="617" ht="17.25" customHeight="1">
      <c r="A617" s="61"/>
      <c r="B617" s="63" t="b">
        <v>0</v>
      </c>
      <c r="C617" s="64">
        <v>610.0</v>
      </c>
      <c r="D617" s="65">
        <v>45581.0</v>
      </c>
      <c r="E617" s="67" t="s">
        <v>574</v>
      </c>
      <c r="F617" s="67" t="s">
        <v>334</v>
      </c>
      <c r="G617" s="69">
        <f>SUMPRODUCT(('⚙️Pengaturan'!$C$3:$C$100=$F617)*('⚙️Pengaturan'!$D$3:$D$100))</f>
        <v>175000</v>
      </c>
      <c r="H617" s="70" t="s">
        <v>28</v>
      </c>
      <c r="I617" s="69"/>
      <c r="J617" s="69">
        <f t="shared" si="2"/>
        <v>175000</v>
      </c>
      <c r="K617" s="71"/>
    </row>
    <row r="618" ht="17.25" customHeight="1">
      <c r="A618" s="61"/>
      <c r="B618" s="63" t="b">
        <v>0</v>
      </c>
      <c r="C618" s="64">
        <v>611.0</v>
      </c>
      <c r="D618" s="65">
        <v>45581.0</v>
      </c>
      <c r="E618" s="109" t="s">
        <v>575</v>
      </c>
      <c r="F618" s="67" t="s">
        <v>338</v>
      </c>
      <c r="G618" s="69">
        <f>SUMPRODUCT(('⚙️Pengaturan'!$C$3:$C$100=$F618)*('⚙️Pengaturan'!$D$3:$D$100))</f>
        <v>2000000</v>
      </c>
      <c r="H618" s="70" t="s">
        <v>28</v>
      </c>
      <c r="I618" s="69">
        <v>1700000.0</v>
      </c>
      <c r="J618" s="69">
        <f t="shared" si="2"/>
        <v>300000</v>
      </c>
      <c r="K618" s="71"/>
    </row>
    <row r="619" ht="17.25" customHeight="1">
      <c r="A619" s="61"/>
      <c r="B619" s="63" t="b">
        <v>0</v>
      </c>
      <c r="C619" s="64">
        <v>612.0</v>
      </c>
      <c r="D619" s="65">
        <v>45581.0</v>
      </c>
      <c r="E619" s="65">
        <v>45581.0</v>
      </c>
      <c r="F619" s="67" t="s">
        <v>329</v>
      </c>
      <c r="G619" s="69">
        <f>SUMPRODUCT(('⚙️Pengaturan'!$C$3:$C$100=$F619)*('⚙️Pengaturan'!$D$3:$D$100))</f>
        <v>750000</v>
      </c>
      <c r="H619" s="70" t="s">
        <v>28</v>
      </c>
      <c r="I619" s="69">
        <v>500000.0</v>
      </c>
      <c r="J619" s="69">
        <f t="shared" si="2"/>
        <v>250000</v>
      </c>
      <c r="K619" s="71"/>
    </row>
    <row r="620" ht="17.25" customHeight="1">
      <c r="A620" s="61"/>
      <c r="B620" s="63" t="b">
        <v>0</v>
      </c>
      <c r="C620" s="64">
        <v>613.0</v>
      </c>
      <c r="D620" s="65">
        <v>45581.0</v>
      </c>
      <c r="E620" s="67" t="s">
        <v>576</v>
      </c>
      <c r="F620" s="67" t="s">
        <v>329</v>
      </c>
      <c r="G620" s="69">
        <f>SUMPRODUCT(('⚙️Pengaturan'!$C$3:$C$100=$F620)*('⚙️Pengaturan'!$D$3:$D$100))</f>
        <v>750000</v>
      </c>
      <c r="H620" s="70" t="s">
        <v>63</v>
      </c>
      <c r="I620" s="69"/>
      <c r="J620" s="69">
        <f t="shared" si="2"/>
        <v>750000</v>
      </c>
      <c r="K620" s="71"/>
    </row>
    <row r="621" ht="17.25" customHeight="1">
      <c r="A621" s="205"/>
      <c r="B621" s="206" t="b">
        <v>0</v>
      </c>
      <c r="C621" s="207">
        <v>614.0</v>
      </c>
      <c r="D621" s="208">
        <v>45582.0</v>
      </c>
      <c r="E621" s="209" t="s">
        <v>577</v>
      </c>
      <c r="F621" s="209" t="s">
        <v>329</v>
      </c>
      <c r="G621" s="210">
        <f>SUMPRODUCT(('⚙️Pengaturan'!$C$3:$C$100=$F621)*('⚙️Pengaturan'!$D$3:$D$100))</f>
        <v>750000</v>
      </c>
      <c r="H621" s="211" t="s">
        <v>63</v>
      </c>
      <c r="I621" s="210">
        <v>450000.0</v>
      </c>
      <c r="J621" s="210">
        <f t="shared" si="2"/>
        <v>300000</v>
      </c>
      <c r="K621" s="212"/>
    </row>
    <row r="622" ht="17.25" customHeight="1">
      <c r="A622" s="61"/>
      <c r="B622" s="63" t="b">
        <v>0</v>
      </c>
      <c r="C622" s="64">
        <v>615.0</v>
      </c>
      <c r="D622" s="65">
        <v>45582.0</v>
      </c>
      <c r="E622" s="67" t="s">
        <v>541</v>
      </c>
      <c r="F622" s="67" t="s">
        <v>329</v>
      </c>
      <c r="G622" s="69">
        <f>SUMPRODUCT(('⚙️Pengaturan'!$C$3:$C$100=$F622)*('⚙️Pengaturan'!$D$3:$D$100))</f>
        <v>750000</v>
      </c>
      <c r="H622" s="70" t="s">
        <v>28</v>
      </c>
      <c r="I622" s="69">
        <v>400000.0</v>
      </c>
      <c r="J622" s="69">
        <f t="shared" si="2"/>
        <v>350000</v>
      </c>
      <c r="K622" s="71"/>
    </row>
    <row r="623" ht="17.25" customHeight="1">
      <c r="A623" s="61"/>
      <c r="B623" s="63" t="b">
        <v>0</v>
      </c>
      <c r="C623" s="64">
        <v>616.0</v>
      </c>
      <c r="D623" s="65">
        <v>45582.0</v>
      </c>
      <c r="E623" s="67" t="s">
        <v>568</v>
      </c>
      <c r="F623" s="67" t="s">
        <v>334</v>
      </c>
      <c r="G623" s="69">
        <f>SUMPRODUCT(('⚙️Pengaturan'!$C$3:$C$100=$F623)*('⚙️Pengaturan'!$D$3:$D$100))</f>
        <v>175000</v>
      </c>
      <c r="H623" s="70" t="s">
        <v>63</v>
      </c>
      <c r="I623" s="69"/>
      <c r="J623" s="69">
        <f t="shared" si="2"/>
        <v>175000</v>
      </c>
      <c r="K623" s="71"/>
    </row>
    <row r="624" ht="17.25" customHeight="1">
      <c r="A624" s="205"/>
      <c r="B624" s="206" t="b">
        <v>0</v>
      </c>
      <c r="C624" s="207">
        <v>617.0</v>
      </c>
      <c r="D624" s="208">
        <v>45584.0</v>
      </c>
      <c r="E624" s="209" t="s">
        <v>578</v>
      </c>
      <c r="F624" s="209" t="s">
        <v>336</v>
      </c>
      <c r="G624" s="210">
        <f>SUMPRODUCT(('⚙️Pengaturan'!$C$3:$C$100=$F624)*('⚙️Pengaturan'!$D$3:$D$100))</f>
        <v>225000</v>
      </c>
      <c r="H624" s="211" t="s">
        <v>28</v>
      </c>
      <c r="I624" s="210"/>
      <c r="J624" s="210">
        <f t="shared" si="2"/>
        <v>225000</v>
      </c>
      <c r="K624" s="212"/>
    </row>
    <row r="625" ht="17.25" customHeight="1">
      <c r="A625" s="215"/>
      <c r="B625" s="216" t="b">
        <v>0</v>
      </c>
      <c r="C625" s="217">
        <v>618.0</v>
      </c>
      <c r="D625" s="218">
        <v>45584.0</v>
      </c>
      <c r="E625" s="214" t="s">
        <v>573</v>
      </c>
      <c r="F625" s="214" t="s">
        <v>329</v>
      </c>
      <c r="G625" s="219">
        <f>SUMPRODUCT(('⚙️Pengaturan'!$C$3:$C$100=$F625)*('⚙️Pengaturan'!$D$3:$D$100))</f>
        <v>750000</v>
      </c>
      <c r="H625" s="220" t="s">
        <v>28</v>
      </c>
      <c r="I625" s="219">
        <v>300000.0</v>
      </c>
      <c r="J625" s="219">
        <f t="shared" si="2"/>
        <v>450000</v>
      </c>
      <c r="K625" s="221"/>
    </row>
    <row r="626" ht="17.25" customHeight="1">
      <c r="A626" s="61"/>
      <c r="B626" s="63" t="b">
        <v>0</v>
      </c>
      <c r="C626" s="64">
        <v>619.0</v>
      </c>
      <c r="D626" s="65">
        <v>45584.0</v>
      </c>
      <c r="E626" s="67" t="s">
        <v>579</v>
      </c>
      <c r="F626" s="67" t="s">
        <v>334</v>
      </c>
      <c r="G626" s="69">
        <f>SUMPRODUCT(('⚙️Pengaturan'!$C$3:$C$100=$F626)*('⚙️Pengaturan'!$D$3:$D$100))</f>
        <v>175000</v>
      </c>
      <c r="H626" s="70" t="s">
        <v>28</v>
      </c>
      <c r="I626" s="69"/>
      <c r="J626" s="69">
        <f t="shared" si="2"/>
        <v>175000</v>
      </c>
      <c r="K626" s="71"/>
    </row>
    <row r="627" ht="17.25" customHeight="1">
      <c r="A627" s="61"/>
      <c r="B627" s="63" t="b">
        <v>0</v>
      </c>
      <c r="C627" s="64">
        <v>620.0</v>
      </c>
      <c r="D627" s="65">
        <v>45584.0</v>
      </c>
      <c r="E627" s="67" t="s">
        <v>580</v>
      </c>
      <c r="F627" s="67" t="s">
        <v>334</v>
      </c>
      <c r="G627" s="69">
        <f>SUMPRODUCT(('⚙️Pengaturan'!$C$3:$C$100=$F627)*('⚙️Pengaturan'!$D$3:$D$100))</f>
        <v>175000</v>
      </c>
      <c r="H627" s="70" t="s">
        <v>28</v>
      </c>
      <c r="I627" s="69"/>
      <c r="J627" s="69">
        <f t="shared" si="2"/>
        <v>175000</v>
      </c>
      <c r="K627" s="71"/>
    </row>
    <row r="628" ht="17.25" customHeight="1">
      <c r="A628" s="61"/>
      <c r="B628" s="63" t="b">
        <v>0</v>
      </c>
      <c r="C628" s="64">
        <v>621.0</v>
      </c>
      <c r="D628" s="65">
        <v>45584.0</v>
      </c>
      <c r="E628" s="67" t="s">
        <v>575</v>
      </c>
      <c r="F628" s="67" t="s">
        <v>338</v>
      </c>
      <c r="G628" s="69">
        <f>SUMPRODUCT(('⚙️Pengaturan'!$C$3:$C$100=$F628)*('⚙️Pengaturan'!$D$3:$D$100))</f>
        <v>2000000</v>
      </c>
      <c r="H628" s="70" t="s">
        <v>28</v>
      </c>
      <c r="I628" s="69">
        <v>300000.0</v>
      </c>
      <c r="J628" s="69">
        <f t="shared" si="2"/>
        <v>1700000</v>
      </c>
      <c r="K628" s="71"/>
    </row>
    <row r="629" ht="17.25" customHeight="1">
      <c r="A629" s="61"/>
      <c r="B629" s="63" t="b">
        <v>0</v>
      </c>
      <c r="C629" s="64">
        <v>622.0</v>
      </c>
      <c r="D629" s="65">
        <v>45584.0</v>
      </c>
      <c r="E629" s="67" t="s">
        <v>581</v>
      </c>
      <c r="F629" s="67" t="s">
        <v>334</v>
      </c>
      <c r="G629" s="69">
        <f>SUMPRODUCT(('⚙️Pengaturan'!$C$3:$C$100=$F629)*('⚙️Pengaturan'!$D$3:$D$100))</f>
        <v>175000</v>
      </c>
      <c r="H629" s="70" t="s">
        <v>63</v>
      </c>
      <c r="I629" s="69"/>
      <c r="J629" s="69">
        <f t="shared" si="2"/>
        <v>175000</v>
      </c>
      <c r="K629" s="71"/>
    </row>
    <row r="630" ht="17.25" customHeight="1">
      <c r="A630" s="61"/>
      <c r="B630" s="63" t="b">
        <v>0</v>
      </c>
      <c r="C630" s="64">
        <v>623.0</v>
      </c>
      <c r="D630" s="65">
        <v>45584.0</v>
      </c>
      <c r="E630" s="67" t="s">
        <v>582</v>
      </c>
      <c r="F630" s="67" t="s">
        <v>334</v>
      </c>
      <c r="G630" s="69">
        <f>SUMPRODUCT(('⚙️Pengaturan'!$C$3:$C$100=$F630)*('⚙️Pengaturan'!$D$3:$D$100))</f>
        <v>175000</v>
      </c>
      <c r="H630" s="70" t="s">
        <v>28</v>
      </c>
      <c r="I630" s="69"/>
      <c r="J630" s="69">
        <f t="shared" si="2"/>
        <v>175000</v>
      </c>
      <c r="K630" s="71"/>
    </row>
    <row r="631" ht="17.25" customHeight="1">
      <c r="A631" s="61"/>
      <c r="B631" s="63" t="b">
        <v>0</v>
      </c>
      <c r="C631" s="64">
        <v>624.0</v>
      </c>
      <c r="D631" s="65">
        <v>45584.0</v>
      </c>
      <c r="E631" s="67" t="s">
        <v>583</v>
      </c>
      <c r="F631" s="67" t="s">
        <v>334</v>
      </c>
      <c r="G631" s="69">
        <f>SUMPRODUCT(('⚙️Pengaturan'!$C$3:$C$100=$F631)*('⚙️Pengaturan'!$D$3:$D$100))</f>
        <v>175000</v>
      </c>
      <c r="H631" s="70" t="s">
        <v>28</v>
      </c>
      <c r="I631" s="69"/>
      <c r="J631" s="69">
        <f t="shared" si="2"/>
        <v>175000</v>
      </c>
      <c r="K631" s="71"/>
    </row>
    <row r="632" ht="17.25" customHeight="1">
      <c r="A632" s="205"/>
      <c r="B632" s="206" t="b">
        <v>0</v>
      </c>
      <c r="C632" s="207">
        <v>625.0</v>
      </c>
      <c r="D632" s="208">
        <v>45585.0</v>
      </c>
      <c r="E632" s="209" t="s">
        <v>562</v>
      </c>
      <c r="F632" s="209" t="s">
        <v>334</v>
      </c>
      <c r="G632" s="210">
        <f>SUMPRODUCT(('⚙️Pengaturan'!$C$3:$C$100=$F632)*('⚙️Pengaturan'!$D$3:$D$100))</f>
        <v>175000</v>
      </c>
      <c r="H632" s="211" t="s">
        <v>28</v>
      </c>
      <c r="I632" s="210"/>
      <c r="J632" s="210">
        <f t="shared" si="2"/>
        <v>175000</v>
      </c>
      <c r="K632" s="212"/>
    </row>
    <row r="633" ht="17.25" customHeight="1">
      <c r="A633" s="61"/>
      <c r="B633" s="63" t="b">
        <v>0</v>
      </c>
      <c r="C633" s="64">
        <v>626.0</v>
      </c>
      <c r="D633" s="65">
        <v>45585.0</v>
      </c>
      <c r="E633" s="67" t="s">
        <v>458</v>
      </c>
      <c r="F633" s="67" t="s">
        <v>329</v>
      </c>
      <c r="G633" s="69">
        <f>SUMPRODUCT(('⚙️Pengaturan'!$C$3:$C$100=$F633)*('⚙️Pengaturan'!$D$3:$D$100))</f>
        <v>750000</v>
      </c>
      <c r="H633" s="70" t="s">
        <v>28</v>
      </c>
      <c r="I633" s="69">
        <v>400000.0</v>
      </c>
      <c r="J633" s="69">
        <f t="shared" si="2"/>
        <v>350000</v>
      </c>
      <c r="K633" s="71"/>
    </row>
    <row r="634" ht="17.25" customHeight="1">
      <c r="A634" s="61"/>
      <c r="B634" s="63" t="b">
        <v>0</v>
      </c>
      <c r="C634" s="64">
        <v>627.0</v>
      </c>
      <c r="D634" s="65">
        <v>45585.0</v>
      </c>
      <c r="E634" s="67" t="s">
        <v>584</v>
      </c>
      <c r="F634" s="67" t="s">
        <v>334</v>
      </c>
      <c r="G634" s="69">
        <f>SUMPRODUCT(('⚙️Pengaturan'!$C$3:$C$100=$F634)*('⚙️Pengaturan'!$D$3:$D$100))</f>
        <v>175000</v>
      </c>
      <c r="H634" s="70" t="s">
        <v>63</v>
      </c>
      <c r="I634" s="69"/>
      <c r="J634" s="69">
        <f t="shared" si="2"/>
        <v>175000</v>
      </c>
      <c r="K634" s="71"/>
    </row>
    <row r="635" ht="17.25" customHeight="1">
      <c r="A635" s="61"/>
      <c r="B635" s="63" t="b">
        <v>0</v>
      </c>
      <c r="C635" s="64">
        <v>628.0</v>
      </c>
      <c r="D635" s="65">
        <v>45585.0</v>
      </c>
      <c r="E635" s="67" t="s">
        <v>577</v>
      </c>
      <c r="F635" s="67" t="s">
        <v>329</v>
      </c>
      <c r="G635" s="69">
        <f>SUMPRODUCT(('⚙️Pengaturan'!$C$3:$C$100=$F635)*('⚙️Pengaturan'!$D$3:$D$100))</f>
        <v>750000</v>
      </c>
      <c r="H635" s="70" t="s">
        <v>63</v>
      </c>
      <c r="I635" s="69">
        <v>300000.0</v>
      </c>
      <c r="J635" s="69">
        <f t="shared" si="2"/>
        <v>450000</v>
      </c>
      <c r="K635" s="71"/>
    </row>
    <row r="636" ht="17.25" customHeight="1">
      <c r="A636" s="61"/>
      <c r="B636" s="63" t="b">
        <v>0</v>
      </c>
      <c r="C636" s="64">
        <v>629.0</v>
      </c>
      <c r="D636" s="65">
        <v>45585.0</v>
      </c>
      <c r="E636" s="67" t="s">
        <v>585</v>
      </c>
      <c r="F636" s="67" t="s">
        <v>334</v>
      </c>
      <c r="G636" s="69">
        <f>SUMPRODUCT(('⚙️Pengaturan'!$C$3:$C$100=$F636)*('⚙️Pengaturan'!$D$3:$D$100))</f>
        <v>175000</v>
      </c>
      <c r="H636" s="70" t="s">
        <v>63</v>
      </c>
      <c r="I636" s="69"/>
      <c r="J636" s="69">
        <f t="shared" si="2"/>
        <v>175000</v>
      </c>
      <c r="K636" s="71"/>
    </row>
    <row r="637" ht="17.25" customHeight="1">
      <c r="A637" s="61"/>
      <c r="B637" s="63" t="b">
        <v>0</v>
      </c>
      <c r="C637" s="64">
        <v>630.0</v>
      </c>
      <c r="D637" s="65">
        <v>45585.0</v>
      </c>
      <c r="E637" s="67" t="s">
        <v>416</v>
      </c>
      <c r="F637" s="67" t="s">
        <v>44</v>
      </c>
      <c r="G637" s="69">
        <f>SUMPRODUCT(('⚙️Pengaturan'!$C$3:$C$100=$F637)*('⚙️Pengaturan'!$D$3:$D$100))</f>
        <v>150000</v>
      </c>
      <c r="H637" s="70" t="s">
        <v>28</v>
      </c>
      <c r="I637" s="69"/>
      <c r="J637" s="69">
        <f t="shared" si="2"/>
        <v>150000</v>
      </c>
      <c r="K637" s="71"/>
    </row>
    <row r="638" ht="17.25" customHeight="1">
      <c r="A638" s="61"/>
      <c r="B638" s="63" t="b">
        <v>0</v>
      </c>
      <c r="C638" s="64">
        <v>631.0</v>
      </c>
      <c r="D638" s="65">
        <v>45585.0</v>
      </c>
      <c r="E638" s="67" t="s">
        <v>586</v>
      </c>
      <c r="F638" s="67" t="s">
        <v>334</v>
      </c>
      <c r="G638" s="69">
        <f>SUMPRODUCT(('⚙️Pengaturan'!$C$3:$C$100=$F638)*('⚙️Pengaturan'!$D$3:$D$100))</f>
        <v>175000</v>
      </c>
      <c r="H638" s="70" t="s">
        <v>28</v>
      </c>
      <c r="I638" s="69"/>
      <c r="J638" s="69">
        <f t="shared" si="2"/>
        <v>175000</v>
      </c>
      <c r="K638" s="71"/>
    </row>
    <row r="639" ht="17.25" customHeight="1">
      <c r="A639" s="205"/>
      <c r="B639" s="206" t="b">
        <v>0</v>
      </c>
      <c r="C639" s="207">
        <v>632.0</v>
      </c>
      <c r="D639" s="208">
        <v>45586.0</v>
      </c>
      <c r="E639" s="209" t="s">
        <v>587</v>
      </c>
      <c r="F639" s="209" t="s">
        <v>334</v>
      </c>
      <c r="G639" s="210">
        <f>SUMPRODUCT(('⚙️Pengaturan'!$C$3:$C$100=$F639)*('⚙️Pengaturan'!$D$3:$D$100))</f>
        <v>175000</v>
      </c>
      <c r="H639" s="211" t="s">
        <v>28</v>
      </c>
      <c r="I639" s="210"/>
      <c r="J639" s="210">
        <f t="shared" si="2"/>
        <v>175000</v>
      </c>
      <c r="K639" s="212"/>
    </row>
    <row r="640" ht="17.25" customHeight="1">
      <c r="A640" s="205"/>
      <c r="B640" s="206" t="b">
        <v>0</v>
      </c>
      <c r="C640" s="207">
        <v>633.0</v>
      </c>
      <c r="D640" s="208">
        <v>45587.0</v>
      </c>
      <c r="E640" s="209" t="s">
        <v>580</v>
      </c>
      <c r="F640" s="209" t="s">
        <v>329</v>
      </c>
      <c r="G640" s="210">
        <f>SUMPRODUCT(('⚙️Pengaturan'!$C$3:$C$100=$F640)*('⚙️Pengaturan'!$D$3:$D$100))</f>
        <v>750000</v>
      </c>
      <c r="H640" s="211" t="s">
        <v>28</v>
      </c>
      <c r="I640" s="210">
        <v>350000.0</v>
      </c>
      <c r="J640" s="210">
        <f t="shared" si="2"/>
        <v>400000</v>
      </c>
      <c r="K640" s="212"/>
    </row>
    <row r="641" ht="17.25" customHeight="1">
      <c r="A641" s="61"/>
      <c r="B641" s="63" t="b">
        <v>0</v>
      </c>
      <c r="C641" s="64">
        <v>634.0</v>
      </c>
      <c r="D641" s="65">
        <v>45587.0</v>
      </c>
      <c r="E641" s="67" t="s">
        <v>579</v>
      </c>
      <c r="F641" s="67" t="s">
        <v>334</v>
      </c>
      <c r="G641" s="69">
        <f>SUMPRODUCT(('⚙️Pengaturan'!$C$3:$C$100=$F641)*('⚙️Pengaturan'!$D$3:$D$100))</f>
        <v>175000</v>
      </c>
      <c r="H641" s="70" t="s">
        <v>28</v>
      </c>
      <c r="I641" s="69"/>
      <c r="J641" s="69">
        <f t="shared" si="2"/>
        <v>175000</v>
      </c>
      <c r="K641" s="71"/>
    </row>
    <row r="642" ht="17.25" customHeight="1">
      <c r="A642" s="61"/>
      <c r="B642" s="63" t="b">
        <v>0</v>
      </c>
      <c r="C642" s="64">
        <v>635.0</v>
      </c>
      <c r="D642" s="65">
        <v>45587.0</v>
      </c>
      <c r="E642" s="67" t="s">
        <v>588</v>
      </c>
      <c r="F642" s="67" t="s">
        <v>334</v>
      </c>
      <c r="G642" s="69">
        <f>SUMPRODUCT(('⚙️Pengaturan'!$C$3:$C$100=$F642)*('⚙️Pengaturan'!$D$3:$D$100))</f>
        <v>175000</v>
      </c>
      <c r="H642" s="70" t="s">
        <v>28</v>
      </c>
      <c r="I642" s="69"/>
      <c r="J642" s="69">
        <f t="shared" si="2"/>
        <v>175000</v>
      </c>
      <c r="K642" s="71"/>
    </row>
    <row r="643" ht="17.25" customHeight="1">
      <c r="A643" s="61"/>
      <c r="B643" s="63" t="b">
        <v>0</v>
      </c>
      <c r="C643" s="64">
        <v>636.0</v>
      </c>
      <c r="D643" s="65">
        <v>45587.0</v>
      </c>
      <c r="E643" s="67" t="s">
        <v>589</v>
      </c>
      <c r="F643" s="67" t="s">
        <v>329</v>
      </c>
      <c r="G643" s="69">
        <f>SUMPRODUCT(('⚙️Pengaturan'!$C$3:$C$100=$F643)*('⚙️Pengaturan'!$D$3:$D$100))</f>
        <v>750000</v>
      </c>
      <c r="H643" s="70" t="s">
        <v>63</v>
      </c>
      <c r="I643" s="69">
        <v>450000.0</v>
      </c>
      <c r="J643" s="69">
        <f t="shared" si="2"/>
        <v>300000</v>
      </c>
      <c r="K643" s="71"/>
    </row>
    <row r="644" ht="17.25" customHeight="1">
      <c r="A644" s="205"/>
      <c r="B644" s="206" t="b">
        <v>0</v>
      </c>
      <c r="C644" s="207">
        <v>637.0</v>
      </c>
      <c r="D644" s="208">
        <v>45588.0</v>
      </c>
      <c r="E644" s="209" t="s">
        <v>590</v>
      </c>
      <c r="F644" s="209" t="s">
        <v>334</v>
      </c>
      <c r="G644" s="210">
        <f>SUMPRODUCT(('⚙️Pengaturan'!$C$3:$C$100=$F644)*('⚙️Pengaturan'!$D$3:$D$100))</f>
        <v>175000</v>
      </c>
      <c r="H644" s="211" t="s">
        <v>28</v>
      </c>
      <c r="I644" s="210"/>
      <c r="J644" s="210">
        <f t="shared" si="2"/>
        <v>175000</v>
      </c>
      <c r="K644" s="212"/>
    </row>
    <row r="645" ht="17.25" customHeight="1">
      <c r="A645" s="61"/>
      <c r="B645" s="63" t="b">
        <v>0</v>
      </c>
      <c r="C645" s="64">
        <v>638.0</v>
      </c>
      <c r="D645" s="65">
        <v>45588.0</v>
      </c>
      <c r="E645" s="67" t="s">
        <v>572</v>
      </c>
      <c r="F645" s="67" t="s">
        <v>329</v>
      </c>
      <c r="G645" s="69">
        <f>SUMPRODUCT(('⚙️Pengaturan'!$C$3:$C$100=$F645)*('⚙️Pengaturan'!$D$3:$D$100))</f>
        <v>750000</v>
      </c>
      <c r="H645" s="70" t="s">
        <v>28</v>
      </c>
      <c r="I645" s="69">
        <v>300000.0</v>
      </c>
      <c r="J645" s="69">
        <f t="shared" si="2"/>
        <v>450000</v>
      </c>
      <c r="K645" s="71"/>
    </row>
    <row r="646" ht="17.25" customHeight="1">
      <c r="A646" s="61"/>
      <c r="B646" s="63" t="b">
        <v>0</v>
      </c>
      <c r="C646" s="64">
        <v>639.0</v>
      </c>
      <c r="D646" s="65">
        <v>45588.0</v>
      </c>
      <c r="E646" s="67" t="s">
        <v>474</v>
      </c>
      <c r="F646" s="67" t="s">
        <v>67</v>
      </c>
      <c r="G646" s="69">
        <f>SUMPRODUCT(('⚙️Pengaturan'!$C$3:$C$100=$F646)*('⚙️Pengaturan'!$D$3:$D$100))</f>
        <v>1200000</v>
      </c>
      <c r="H646" s="70" t="s">
        <v>28</v>
      </c>
      <c r="I646" s="69"/>
      <c r="J646" s="69">
        <f t="shared" si="2"/>
        <v>1200000</v>
      </c>
      <c r="K646" s="71"/>
    </row>
    <row r="647" ht="17.25" customHeight="1">
      <c r="A647" s="205"/>
      <c r="B647" s="206" t="b">
        <v>0</v>
      </c>
      <c r="C647" s="207">
        <v>640.0</v>
      </c>
      <c r="D647" s="208">
        <v>45589.0</v>
      </c>
      <c r="E647" s="209" t="s">
        <v>589</v>
      </c>
      <c r="F647" s="209" t="s">
        <v>329</v>
      </c>
      <c r="G647" s="210">
        <f>SUMPRODUCT(('⚙️Pengaturan'!$C$3:$C$100=$F647)*('⚙️Pengaturan'!$D$3:$D$100))</f>
        <v>750000</v>
      </c>
      <c r="H647" s="211" t="s">
        <v>63</v>
      </c>
      <c r="I647" s="210">
        <v>300000.0</v>
      </c>
      <c r="J647" s="210">
        <f t="shared" si="2"/>
        <v>450000</v>
      </c>
      <c r="K647" s="212"/>
    </row>
    <row r="648" ht="17.25" customHeight="1">
      <c r="A648" s="205"/>
      <c r="B648" s="206" t="b">
        <v>0</v>
      </c>
      <c r="C648" s="207">
        <v>641.0</v>
      </c>
      <c r="D648" s="208">
        <v>45591.0</v>
      </c>
      <c r="E648" s="209" t="s">
        <v>591</v>
      </c>
      <c r="F648" s="209" t="s">
        <v>334</v>
      </c>
      <c r="G648" s="210">
        <f>SUMPRODUCT(('⚙️Pengaturan'!$C$3:$C$100=$F648)*('⚙️Pengaturan'!$D$3:$D$100))</f>
        <v>175000</v>
      </c>
      <c r="H648" s="211" t="s">
        <v>63</v>
      </c>
      <c r="I648" s="210"/>
      <c r="J648" s="210">
        <f t="shared" si="2"/>
        <v>175000</v>
      </c>
      <c r="K648" s="212"/>
    </row>
    <row r="649" ht="17.25" customHeight="1">
      <c r="A649" s="205"/>
      <c r="B649" s="206" t="b">
        <v>0</v>
      </c>
      <c r="C649" s="207">
        <v>642.0</v>
      </c>
      <c r="D649" s="208">
        <v>45592.0</v>
      </c>
      <c r="E649" s="209" t="s">
        <v>560</v>
      </c>
      <c r="F649" s="209" t="s">
        <v>329</v>
      </c>
      <c r="G649" s="210">
        <f>SUMPRODUCT(('⚙️Pengaturan'!$C$3:$C$100=$F649)*('⚙️Pengaturan'!$D$3:$D$100))</f>
        <v>750000</v>
      </c>
      <c r="H649" s="211" t="s">
        <v>63</v>
      </c>
      <c r="I649" s="210"/>
      <c r="J649" s="210">
        <f t="shared" si="2"/>
        <v>750000</v>
      </c>
      <c r="K649" s="212"/>
    </row>
    <row r="650" ht="17.25" customHeight="1">
      <c r="A650" s="61"/>
      <c r="B650" s="63" t="b">
        <v>0</v>
      </c>
      <c r="C650" s="64">
        <v>643.0</v>
      </c>
      <c r="D650" s="65">
        <v>45592.0</v>
      </c>
      <c r="E650" s="67" t="s">
        <v>199</v>
      </c>
      <c r="F650" s="67" t="s">
        <v>67</v>
      </c>
      <c r="G650" s="69">
        <f>SUMPRODUCT(('⚙️Pengaturan'!$C$3:$C$100=$F650)*('⚙️Pengaturan'!$D$3:$D$100))</f>
        <v>1200000</v>
      </c>
      <c r="H650" s="70" t="s">
        <v>28</v>
      </c>
      <c r="I650" s="69">
        <v>600000.0</v>
      </c>
      <c r="J650" s="69">
        <f t="shared" si="2"/>
        <v>600000</v>
      </c>
      <c r="K650" s="71"/>
    </row>
    <row r="651" ht="17.25" customHeight="1">
      <c r="A651" s="61"/>
      <c r="B651" s="63" t="b">
        <v>0</v>
      </c>
      <c r="C651" s="64">
        <v>644.0</v>
      </c>
      <c r="D651" s="65">
        <v>45592.0</v>
      </c>
      <c r="E651" s="67" t="s">
        <v>592</v>
      </c>
      <c r="F651" s="67" t="s">
        <v>329</v>
      </c>
      <c r="G651" s="69">
        <f>SUMPRODUCT(('⚙️Pengaturan'!$C$3:$C$100=$F651)*('⚙️Pengaturan'!$D$3:$D$100))</f>
        <v>750000</v>
      </c>
      <c r="H651" s="70" t="s">
        <v>63</v>
      </c>
      <c r="I651" s="69"/>
      <c r="J651" s="69">
        <f t="shared" si="2"/>
        <v>750000</v>
      </c>
      <c r="K651" s="71"/>
    </row>
    <row r="652" ht="17.25" customHeight="1">
      <c r="A652" s="205"/>
      <c r="B652" s="206" t="b">
        <v>0</v>
      </c>
      <c r="C652" s="207">
        <v>645.0</v>
      </c>
      <c r="D652" s="208">
        <v>45593.0</v>
      </c>
      <c r="E652" s="209" t="s">
        <v>593</v>
      </c>
      <c r="F652" s="209" t="s">
        <v>334</v>
      </c>
      <c r="G652" s="210">
        <f>SUMPRODUCT(('⚙️Pengaturan'!$C$3:$C$100=$F652)*('⚙️Pengaturan'!$D$3:$D$100))</f>
        <v>175000</v>
      </c>
      <c r="H652" s="211" t="s">
        <v>28</v>
      </c>
      <c r="I652" s="210"/>
      <c r="J652" s="210">
        <f t="shared" si="2"/>
        <v>175000</v>
      </c>
      <c r="K652" s="212"/>
    </row>
    <row r="653" ht="17.25" customHeight="1">
      <c r="A653" s="61"/>
      <c r="B653" s="63" t="b">
        <v>0</v>
      </c>
      <c r="C653" s="64">
        <v>646.0</v>
      </c>
      <c r="D653" s="65">
        <v>45593.0</v>
      </c>
      <c r="E653" s="67" t="s">
        <v>593</v>
      </c>
      <c r="F653" s="67" t="s">
        <v>338</v>
      </c>
      <c r="G653" s="69">
        <f>SUMPRODUCT(('⚙️Pengaturan'!$C$3:$C$100=$F653)*('⚙️Pengaturan'!$D$3:$D$100))</f>
        <v>2000000</v>
      </c>
      <c r="H653" s="70" t="s">
        <v>28</v>
      </c>
      <c r="I653" s="69"/>
      <c r="J653" s="69">
        <f t="shared" si="2"/>
        <v>2000000</v>
      </c>
      <c r="K653" s="71"/>
    </row>
    <row r="654" ht="17.25" customHeight="1">
      <c r="A654" s="205"/>
      <c r="B654" s="206" t="b">
        <v>0</v>
      </c>
      <c r="C654" s="207">
        <v>647.0</v>
      </c>
      <c r="D654" s="208">
        <v>45594.0</v>
      </c>
      <c r="E654" s="209" t="s">
        <v>594</v>
      </c>
      <c r="F654" s="209" t="s">
        <v>334</v>
      </c>
      <c r="G654" s="210">
        <v>175000.0</v>
      </c>
      <c r="H654" s="211" t="s">
        <v>63</v>
      </c>
      <c r="I654" s="210"/>
      <c r="J654" s="210">
        <f t="shared" si="2"/>
        <v>175000</v>
      </c>
      <c r="K654" s="212"/>
    </row>
    <row r="655" ht="17.25" customHeight="1">
      <c r="A655" s="61"/>
      <c r="B655" s="63" t="b">
        <v>0</v>
      </c>
      <c r="C655" s="64">
        <v>648.0</v>
      </c>
      <c r="D655" s="65">
        <v>45594.0</v>
      </c>
      <c r="E655" s="67" t="s">
        <v>580</v>
      </c>
      <c r="F655" s="67" t="s">
        <v>329</v>
      </c>
      <c r="G655" s="69">
        <f>SUMPRODUCT(('⚙️Pengaturan'!$C$3:$C$100=$F655)*('⚙️Pengaturan'!$D$3:$D$100))</f>
        <v>750000</v>
      </c>
      <c r="H655" s="70" t="s">
        <v>28</v>
      </c>
      <c r="I655" s="69">
        <v>400000.0</v>
      </c>
      <c r="J655" s="69">
        <f t="shared" si="2"/>
        <v>350000</v>
      </c>
      <c r="K655" s="71"/>
    </row>
    <row r="656" ht="17.25" customHeight="1">
      <c r="A656" s="61"/>
      <c r="B656" s="63" t="b">
        <v>0</v>
      </c>
      <c r="C656" s="64">
        <v>649.0</v>
      </c>
      <c r="D656" s="65">
        <v>45594.0</v>
      </c>
      <c r="E656" s="67" t="s">
        <v>595</v>
      </c>
      <c r="F656" s="67" t="s">
        <v>332</v>
      </c>
      <c r="G656" s="69">
        <f>SUMPRODUCT(('⚙️Pengaturan'!$C$3:$C$100=$F656)*('⚙️Pengaturan'!$D$3:$D$100))</f>
        <v>1300000</v>
      </c>
      <c r="H656" s="70" t="s">
        <v>28</v>
      </c>
      <c r="I656" s="69">
        <v>800000.0</v>
      </c>
      <c r="J656" s="69">
        <f t="shared" si="2"/>
        <v>500000</v>
      </c>
      <c r="K656" s="71"/>
    </row>
    <row r="657" ht="17.25" customHeight="1">
      <c r="A657" s="205"/>
      <c r="B657" s="206" t="b">
        <v>0</v>
      </c>
      <c r="C657" s="207">
        <v>650.0</v>
      </c>
      <c r="D657" s="208">
        <v>45594.0</v>
      </c>
      <c r="E657" s="209" t="s">
        <v>596</v>
      </c>
      <c r="F657" s="209" t="s">
        <v>334</v>
      </c>
      <c r="G657" s="210">
        <f>SUMPRODUCT(('⚙️Pengaturan'!$C$3:$C$100=$F657)*('⚙️Pengaturan'!$D$3:$D$100))</f>
        <v>175000</v>
      </c>
      <c r="H657" s="211" t="s">
        <v>28</v>
      </c>
      <c r="I657" s="210"/>
      <c r="J657" s="210">
        <f t="shared" si="2"/>
        <v>175000</v>
      </c>
      <c r="K657" s="212"/>
    </row>
    <row r="658" ht="17.25" customHeight="1">
      <c r="A658" s="61"/>
      <c r="B658" s="63" t="b">
        <v>0</v>
      </c>
      <c r="C658" s="64">
        <v>651.0</v>
      </c>
      <c r="D658" s="65">
        <v>45595.0</v>
      </c>
      <c r="E658" s="67" t="s">
        <v>597</v>
      </c>
      <c r="F658" s="67" t="s">
        <v>329</v>
      </c>
      <c r="G658" s="69">
        <f>SUMPRODUCT(('⚙️Pengaturan'!$C$3:$C$100=$F658)*('⚙️Pengaturan'!$D$3:$D$100))</f>
        <v>750000</v>
      </c>
      <c r="H658" s="70" t="s">
        <v>28</v>
      </c>
      <c r="I658" s="69"/>
      <c r="J658" s="69">
        <f t="shared" si="2"/>
        <v>750000</v>
      </c>
      <c r="K658" s="71"/>
    </row>
    <row r="659" ht="17.25" customHeight="1">
      <c r="A659" s="205"/>
      <c r="B659" s="206" t="b">
        <v>0</v>
      </c>
      <c r="C659" s="207">
        <v>652.0</v>
      </c>
      <c r="D659" s="208">
        <v>45596.0</v>
      </c>
      <c r="E659" s="209" t="s">
        <v>593</v>
      </c>
      <c r="F659" s="209" t="s">
        <v>334</v>
      </c>
      <c r="G659" s="210">
        <f>SUMPRODUCT(('⚙️Pengaturan'!$C$3:$C$100=$F659)*('⚙️Pengaturan'!$D$3:$D$100))</f>
        <v>175000</v>
      </c>
      <c r="H659" s="211" t="s">
        <v>28</v>
      </c>
      <c r="I659" s="210"/>
      <c r="J659" s="210">
        <f t="shared" si="2"/>
        <v>175000</v>
      </c>
      <c r="K659" s="212"/>
    </row>
    <row r="660" ht="17.25" customHeight="1">
      <c r="A660" s="61"/>
      <c r="B660" s="63" t="b">
        <v>0</v>
      </c>
      <c r="C660" s="64">
        <v>653.0</v>
      </c>
      <c r="D660" s="65">
        <v>45596.0</v>
      </c>
      <c r="E660" s="67" t="s">
        <v>595</v>
      </c>
      <c r="F660" s="67" t="s">
        <v>332</v>
      </c>
      <c r="G660" s="69">
        <f>SUMPRODUCT(('⚙️Pengaturan'!$C$3:$C$100=$F660)*('⚙️Pengaturan'!$D$3:$D$100))</f>
        <v>1300000</v>
      </c>
      <c r="H660" s="70" t="s">
        <v>28</v>
      </c>
      <c r="I660" s="69">
        <v>500000.0</v>
      </c>
      <c r="J660" s="69">
        <f t="shared" si="2"/>
        <v>800000</v>
      </c>
      <c r="K660" s="71"/>
    </row>
    <row r="661" ht="17.25" customHeight="1">
      <c r="A661" s="222"/>
      <c r="B661" s="223" t="b">
        <v>0</v>
      </c>
      <c r="C661" s="224">
        <v>654.0</v>
      </c>
      <c r="D661" s="225">
        <v>45598.0</v>
      </c>
      <c r="E661" s="226" t="s">
        <v>598</v>
      </c>
      <c r="F661" s="226" t="s">
        <v>334</v>
      </c>
      <c r="G661" s="227">
        <f>SUMPRODUCT(('⚙️Pengaturan'!$C$3:$C$100=$F661)*('⚙️Pengaturan'!$D$3:$D$100))</f>
        <v>175000</v>
      </c>
      <c r="H661" s="228" t="s">
        <v>28</v>
      </c>
      <c r="I661" s="227"/>
      <c r="J661" s="227">
        <f t="shared" si="2"/>
        <v>175000</v>
      </c>
      <c r="K661" s="229"/>
    </row>
    <row r="662" ht="17.25" customHeight="1">
      <c r="A662" s="215"/>
      <c r="B662" s="216" t="b">
        <v>0</v>
      </c>
      <c r="C662" s="217">
        <v>655.0</v>
      </c>
      <c r="D662" s="218">
        <v>45598.0</v>
      </c>
      <c r="E662" s="214" t="s">
        <v>450</v>
      </c>
      <c r="F662" s="214" t="s">
        <v>334</v>
      </c>
      <c r="G662" s="219">
        <f>SUMPRODUCT(('⚙️Pengaturan'!$C$3:$C$100=$F662)*('⚙️Pengaturan'!$D$3:$D$100))</f>
        <v>175000</v>
      </c>
      <c r="H662" s="220" t="s">
        <v>28</v>
      </c>
      <c r="I662" s="219"/>
      <c r="J662" s="219">
        <f t="shared" si="2"/>
        <v>175000</v>
      </c>
      <c r="K662" s="221"/>
    </row>
    <row r="663" ht="17.25" customHeight="1">
      <c r="A663" s="205"/>
      <c r="B663" s="206" t="b">
        <v>0</v>
      </c>
      <c r="C663" s="207">
        <v>656.0</v>
      </c>
      <c r="D663" s="208">
        <v>45599.0</v>
      </c>
      <c r="E663" s="209" t="s">
        <v>416</v>
      </c>
      <c r="F663" s="209" t="s">
        <v>44</v>
      </c>
      <c r="G663" s="210">
        <f>SUMPRODUCT(('⚙️Pengaturan'!$C$3:$C$100=$F663)*('⚙️Pengaturan'!$D$3:$D$100))</f>
        <v>150000</v>
      </c>
      <c r="H663" s="211" t="s">
        <v>28</v>
      </c>
      <c r="I663" s="210"/>
      <c r="J663" s="210">
        <f t="shared" si="2"/>
        <v>150000</v>
      </c>
      <c r="K663" s="212"/>
    </row>
    <row r="664" ht="17.25" customHeight="1">
      <c r="A664" s="61"/>
      <c r="B664" s="63" t="b">
        <v>0</v>
      </c>
      <c r="C664" s="64">
        <v>657.0</v>
      </c>
      <c r="D664" s="65">
        <v>45599.0</v>
      </c>
      <c r="E664" s="67" t="s">
        <v>599</v>
      </c>
      <c r="F664" s="67" t="s">
        <v>331</v>
      </c>
      <c r="G664" s="69">
        <f>SUMPRODUCT(('⚙️Pengaturan'!$C$3:$C$100=$F664)*('⚙️Pengaturan'!$D$3:$D$100))</f>
        <v>1400000</v>
      </c>
      <c r="H664" s="70" t="s">
        <v>28</v>
      </c>
      <c r="I664" s="69">
        <v>700000.0</v>
      </c>
      <c r="J664" s="69">
        <f t="shared" si="2"/>
        <v>700000</v>
      </c>
      <c r="K664" s="71"/>
    </row>
    <row r="665" ht="17.25" customHeight="1">
      <c r="A665" s="61"/>
      <c r="B665" s="63" t="b">
        <v>0</v>
      </c>
      <c r="C665" s="64">
        <v>658.0</v>
      </c>
      <c r="D665" s="65">
        <v>45599.0</v>
      </c>
      <c r="E665" s="67" t="s">
        <v>600</v>
      </c>
      <c r="F665" s="67" t="s">
        <v>334</v>
      </c>
      <c r="G665" s="69">
        <f>SUMPRODUCT(('⚙️Pengaturan'!$C$3:$C$100=$F665)*('⚙️Pengaturan'!$D$3:$D$100))</f>
        <v>175000</v>
      </c>
      <c r="H665" s="70" t="s">
        <v>28</v>
      </c>
      <c r="I665" s="69"/>
      <c r="J665" s="69">
        <f t="shared" si="2"/>
        <v>175000</v>
      </c>
      <c r="K665" s="71"/>
    </row>
    <row r="666" ht="17.25" customHeight="1">
      <c r="A666" s="61"/>
      <c r="B666" s="63" t="b">
        <v>0</v>
      </c>
      <c r="C666" s="64">
        <v>659.0</v>
      </c>
      <c r="D666" s="65">
        <v>45599.0</v>
      </c>
      <c r="E666" s="67" t="s">
        <v>601</v>
      </c>
      <c r="F666" s="67" t="s">
        <v>334</v>
      </c>
      <c r="G666" s="69">
        <f>SUMPRODUCT(('⚙️Pengaturan'!$C$3:$C$100=$F666)*('⚙️Pengaturan'!$D$3:$D$100))</f>
        <v>175000</v>
      </c>
      <c r="H666" s="70" t="s">
        <v>28</v>
      </c>
      <c r="I666" s="69"/>
      <c r="J666" s="69">
        <f t="shared" si="2"/>
        <v>175000</v>
      </c>
      <c r="K666" s="71"/>
    </row>
    <row r="667" ht="17.25" customHeight="1">
      <c r="A667" s="205"/>
      <c r="B667" s="206" t="b">
        <v>0</v>
      </c>
      <c r="C667" s="207">
        <v>660.0</v>
      </c>
      <c r="D667" s="208">
        <v>45600.0</v>
      </c>
      <c r="E667" s="209" t="s">
        <v>602</v>
      </c>
      <c r="F667" s="209" t="s">
        <v>334</v>
      </c>
      <c r="G667" s="210">
        <f>SUMPRODUCT(('⚙️Pengaturan'!$C$3:$C$100=$F667)*('⚙️Pengaturan'!$D$3:$D$100))</f>
        <v>175000</v>
      </c>
      <c r="H667" s="211" t="s">
        <v>63</v>
      </c>
      <c r="I667" s="210"/>
      <c r="J667" s="210">
        <f t="shared" si="2"/>
        <v>175000</v>
      </c>
      <c r="K667" s="212"/>
    </row>
    <row r="668" ht="17.25" customHeight="1">
      <c r="A668" s="61"/>
      <c r="B668" s="63" t="b">
        <v>0</v>
      </c>
      <c r="C668" s="64">
        <v>661.0</v>
      </c>
      <c r="D668" s="65">
        <v>45600.0</v>
      </c>
      <c r="E668" s="67" t="s">
        <v>573</v>
      </c>
      <c r="F668" s="67" t="s">
        <v>334</v>
      </c>
      <c r="G668" s="69">
        <f>SUMPRODUCT(('⚙️Pengaturan'!$C$3:$C$100=$F668)*('⚙️Pengaturan'!$D$3:$D$100))</f>
        <v>175000</v>
      </c>
      <c r="H668" s="70" t="s">
        <v>63</v>
      </c>
      <c r="I668" s="69"/>
      <c r="J668" s="69">
        <f t="shared" si="2"/>
        <v>175000</v>
      </c>
      <c r="K668" s="71"/>
    </row>
    <row r="669" ht="17.25" customHeight="1">
      <c r="A669" s="205"/>
      <c r="B669" s="206" t="b">
        <v>0</v>
      </c>
      <c r="C669" s="207">
        <v>662.0</v>
      </c>
      <c r="D669" s="208">
        <v>45601.0</v>
      </c>
      <c r="E669" s="209" t="s">
        <v>416</v>
      </c>
      <c r="F669" s="209" t="s">
        <v>44</v>
      </c>
      <c r="G669" s="210">
        <f>SUMPRODUCT(('⚙️Pengaturan'!$C$3:$C$100=$F669)*('⚙️Pengaturan'!$D$3:$D$100))</f>
        <v>150000</v>
      </c>
      <c r="H669" s="211" t="s">
        <v>63</v>
      </c>
      <c r="I669" s="210"/>
      <c r="J669" s="210">
        <f t="shared" si="2"/>
        <v>150000</v>
      </c>
      <c r="K669" s="212"/>
    </row>
    <row r="670" ht="17.25" customHeight="1">
      <c r="A670" s="61"/>
      <c r="B670" s="63" t="b">
        <v>0</v>
      </c>
      <c r="C670" s="64">
        <v>663.0</v>
      </c>
      <c r="D670" s="65">
        <v>45601.0</v>
      </c>
      <c r="E670" s="67" t="s">
        <v>450</v>
      </c>
      <c r="F670" s="67" t="s">
        <v>334</v>
      </c>
      <c r="G670" s="69">
        <f>SUMPRODUCT(('⚙️Pengaturan'!$C$3:$C$100=$F670)*('⚙️Pengaturan'!$D$3:$D$100))</f>
        <v>175000</v>
      </c>
      <c r="H670" s="70" t="s">
        <v>28</v>
      </c>
      <c r="I670" s="69"/>
      <c r="J670" s="69">
        <f t="shared" si="2"/>
        <v>175000</v>
      </c>
      <c r="K670" s="71"/>
    </row>
    <row r="671" ht="17.25" customHeight="1">
      <c r="A671" s="61"/>
      <c r="B671" s="63" t="b">
        <v>0</v>
      </c>
      <c r="C671" s="64">
        <v>664.0</v>
      </c>
      <c r="D671" s="65">
        <v>45601.0</v>
      </c>
      <c r="E671" s="67" t="s">
        <v>601</v>
      </c>
      <c r="F671" s="67" t="s">
        <v>334</v>
      </c>
      <c r="G671" s="69">
        <f>SUMPRODUCT(('⚙️Pengaturan'!$C$3:$C$100=$F671)*('⚙️Pengaturan'!$D$3:$D$100))</f>
        <v>175000</v>
      </c>
      <c r="H671" s="70" t="s">
        <v>28</v>
      </c>
      <c r="I671" s="69"/>
      <c r="J671" s="69">
        <f t="shared" si="2"/>
        <v>175000</v>
      </c>
      <c r="K671" s="71"/>
    </row>
    <row r="672" ht="17.25" customHeight="1">
      <c r="A672" s="61"/>
      <c r="B672" s="63" t="b">
        <v>0</v>
      </c>
      <c r="C672" s="64">
        <v>665.0</v>
      </c>
      <c r="D672" s="65">
        <v>45602.0</v>
      </c>
      <c r="E672" s="67" t="s">
        <v>603</v>
      </c>
      <c r="F672" s="67" t="s">
        <v>334</v>
      </c>
      <c r="G672" s="69">
        <f>SUMPRODUCT(('⚙️Pengaturan'!$C$3:$C$100=$F672)*('⚙️Pengaturan'!$D$3:$D$100))</f>
        <v>175000</v>
      </c>
      <c r="H672" s="70" t="s">
        <v>28</v>
      </c>
      <c r="I672" s="69"/>
      <c r="J672" s="69">
        <f t="shared" si="2"/>
        <v>175000</v>
      </c>
      <c r="K672" s="71"/>
    </row>
    <row r="673" ht="17.25" customHeight="1">
      <c r="A673" s="205"/>
      <c r="B673" s="206" t="b">
        <v>0</v>
      </c>
      <c r="C673" s="207">
        <v>666.0</v>
      </c>
      <c r="D673" s="208">
        <v>45603.0</v>
      </c>
      <c r="E673" s="209" t="s">
        <v>599</v>
      </c>
      <c r="F673" s="209" t="s">
        <v>331</v>
      </c>
      <c r="G673" s="210">
        <f>SUMPRODUCT(('⚙️Pengaturan'!$C$3:$C$100=$F673)*('⚙️Pengaturan'!$D$3:$D$100))</f>
        <v>1400000</v>
      </c>
      <c r="H673" s="211" t="s">
        <v>28</v>
      </c>
      <c r="I673" s="210">
        <v>700000.0</v>
      </c>
      <c r="J673" s="210">
        <f t="shared" si="2"/>
        <v>700000</v>
      </c>
      <c r="K673" s="212"/>
    </row>
    <row r="674" ht="17.25" customHeight="1">
      <c r="A674" s="61"/>
      <c r="B674" s="63" t="b">
        <v>0</v>
      </c>
      <c r="C674" s="64">
        <v>667.0</v>
      </c>
      <c r="D674" s="65">
        <v>45603.0</v>
      </c>
      <c r="E674" s="67" t="s">
        <v>604</v>
      </c>
      <c r="F674" s="67" t="s">
        <v>334</v>
      </c>
      <c r="G674" s="69">
        <f>SUMPRODUCT(('⚙️Pengaturan'!$C$3:$C$100=$F674)*('⚙️Pengaturan'!$D$3:$D$100))</f>
        <v>175000</v>
      </c>
      <c r="H674" s="70" t="s">
        <v>28</v>
      </c>
      <c r="I674" s="69"/>
      <c r="J674" s="69">
        <f t="shared" si="2"/>
        <v>175000</v>
      </c>
      <c r="K674" s="71"/>
    </row>
    <row r="675" ht="17.25" customHeight="1">
      <c r="A675" s="205"/>
      <c r="B675" s="206" t="b">
        <v>0</v>
      </c>
      <c r="C675" s="207">
        <v>668.0</v>
      </c>
      <c r="D675" s="208">
        <v>45605.0</v>
      </c>
      <c r="E675" s="209" t="s">
        <v>605</v>
      </c>
      <c r="F675" s="209" t="s">
        <v>334</v>
      </c>
      <c r="G675" s="210">
        <f>SUMPRODUCT(('⚙️Pengaturan'!$C$3:$C$100=$F675)*('⚙️Pengaturan'!$D$3:$D$100))</f>
        <v>175000</v>
      </c>
      <c r="H675" s="211" t="s">
        <v>28</v>
      </c>
      <c r="I675" s="210"/>
      <c r="J675" s="210">
        <f t="shared" si="2"/>
        <v>175000</v>
      </c>
      <c r="K675" s="212"/>
    </row>
    <row r="676" ht="17.25" customHeight="1">
      <c r="A676" s="61"/>
      <c r="B676" s="63" t="b">
        <v>0</v>
      </c>
      <c r="C676" s="64">
        <v>669.0</v>
      </c>
      <c r="D676" s="65">
        <v>45605.0</v>
      </c>
      <c r="E676" s="67" t="s">
        <v>606</v>
      </c>
      <c r="F676" s="67" t="s">
        <v>334</v>
      </c>
      <c r="G676" s="69">
        <f>SUMPRODUCT(('⚙️Pengaturan'!$C$3:$C$100=$F676)*('⚙️Pengaturan'!$D$3:$D$100))</f>
        <v>175000</v>
      </c>
      <c r="H676" s="70" t="s">
        <v>28</v>
      </c>
      <c r="I676" s="69"/>
      <c r="J676" s="69">
        <f t="shared" si="2"/>
        <v>175000</v>
      </c>
      <c r="K676" s="71"/>
    </row>
    <row r="677" ht="17.25" customHeight="1">
      <c r="A677" s="205"/>
      <c r="B677" s="206" t="b">
        <v>0</v>
      </c>
      <c r="C677" s="207">
        <v>670.0</v>
      </c>
      <c r="D677" s="208">
        <v>45606.0</v>
      </c>
      <c r="E677" s="209" t="s">
        <v>607</v>
      </c>
      <c r="F677" s="209" t="s">
        <v>329</v>
      </c>
      <c r="G677" s="210">
        <f>SUMPRODUCT(('⚙️Pengaturan'!$C$3:$C$100=$F677)*('⚙️Pengaturan'!$D$3:$D$100))</f>
        <v>750000</v>
      </c>
      <c r="H677" s="211" t="s">
        <v>63</v>
      </c>
      <c r="I677" s="210">
        <v>575000.0</v>
      </c>
      <c r="J677" s="210">
        <f t="shared" si="2"/>
        <v>175000</v>
      </c>
      <c r="K677" s="212"/>
    </row>
    <row r="678" ht="17.25" customHeight="1">
      <c r="A678" s="61"/>
      <c r="B678" s="63" t="b">
        <v>0</v>
      </c>
      <c r="C678" s="64">
        <v>671.0</v>
      </c>
      <c r="D678" s="65">
        <v>45606.0</v>
      </c>
      <c r="E678" s="67" t="s">
        <v>416</v>
      </c>
      <c r="F678" s="67" t="s">
        <v>44</v>
      </c>
      <c r="G678" s="69">
        <f>SUMPRODUCT(('⚙️Pengaturan'!$C$3:$C$100=$F678)*('⚙️Pengaturan'!$D$3:$D$100))</f>
        <v>150000</v>
      </c>
      <c r="H678" s="70" t="s">
        <v>63</v>
      </c>
      <c r="I678" s="69"/>
      <c r="J678" s="69">
        <f t="shared" si="2"/>
        <v>150000</v>
      </c>
      <c r="K678" s="71"/>
    </row>
    <row r="679" ht="17.25" customHeight="1">
      <c r="A679" s="61"/>
      <c r="B679" s="63" t="b">
        <v>0</v>
      </c>
      <c r="C679" s="64">
        <v>672.0</v>
      </c>
      <c r="D679" s="65">
        <v>45606.0</v>
      </c>
      <c r="E679" s="67" t="s">
        <v>608</v>
      </c>
      <c r="F679" s="67" t="s">
        <v>334</v>
      </c>
      <c r="G679" s="69">
        <f>SUMPRODUCT(('⚙️Pengaturan'!$C$3:$C$100=$F679)*('⚙️Pengaturan'!$D$3:$D$100))</f>
        <v>175000</v>
      </c>
      <c r="H679" s="70" t="s">
        <v>28</v>
      </c>
      <c r="I679" s="69"/>
      <c r="J679" s="69">
        <f t="shared" si="2"/>
        <v>175000</v>
      </c>
      <c r="K679" s="71"/>
    </row>
    <row r="680" ht="17.25" customHeight="1">
      <c r="A680" s="61"/>
      <c r="B680" s="63" t="b">
        <v>0</v>
      </c>
      <c r="C680" s="64">
        <v>673.0</v>
      </c>
      <c r="D680" s="65">
        <v>45606.0</v>
      </c>
      <c r="E680" s="67" t="s">
        <v>609</v>
      </c>
      <c r="F680" s="67" t="s">
        <v>334</v>
      </c>
      <c r="G680" s="69">
        <f>SUMPRODUCT(('⚙️Pengaturan'!$C$3:$C$100=$F680)*('⚙️Pengaturan'!$D$3:$D$100))</f>
        <v>175000</v>
      </c>
      <c r="H680" s="70" t="s">
        <v>63</v>
      </c>
      <c r="I680" s="69"/>
      <c r="J680" s="69">
        <f t="shared" si="2"/>
        <v>175000</v>
      </c>
      <c r="K680" s="71"/>
    </row>
    <row r="681" ht="17.25" customHeight="1">
      <c r="A681" s="205"/>
      <c r="B681" s="206" t="b">
        <v>0</v>
      </c>
      <c r="C681" s="207">
        <v>674.0</v>
      </c>
      <c r="D681" s="208">
        <v>45607.0</v>
      </c>
      <c r="E681" s="209" t="s">
        <v>610</v>
      </c>
      <c r="F681" s="209" t="s">
        <v>334</v>
      </c>
      <c r="G681" s="210">
        <f>SUMPRODUCT(('⚙️Pengaturan'!$C$3:$C$100=$F681)*('⚙️Pengaturan'!$D$3:$D$100))</f>
        <v>175000</v>
      </c>
      <c r="H681" s="211" t="s">
        <v>28</v>
      </c>
      <c r="I681" s="210"/>
      <c r="J681" s="210">
        <f t="shared" si="2"/>
        <v>175000</v>
      </c>
      <c r="K681" s="212"/>
    </row>
    <row r="682" ht="17.25" customHeight="1">
      <c r="A682" s="61"/>
      <c r="B682" s="63" t="b">
        <v>0</v>
      </c>
      <c r="C682" s="64">
        <v>675.0</v>
      </c>
      <c r="D682" s="65">
        <v>45607.0</v>
      </c>
      <c r="E682" s="67" t="s">
        <v>611</v>
      </c>
      <c r="F682" s="67" t="s">
        <v>334</v>
      </c>
      <c r="G682" s="69">
        <f>SUMPRODUCT(('⚙️Pengaturan'!$C$3:$C$100=$F682)*('⚙️Pengaturan'!$D$3:$D$100))</f>
        <v>175000</v>
      </c>
      <c r="H682" s="70" t="s">
        <v>28</v>
      </c>
      <c r="I682" s="69"/>
      <c r="J682" s="69">
        <f t="shared" si="2"/>
        <v>175000</v>
      </c>
      <c r="K682" s="71"/>
    </row>
    <row r="683" ht="17.25" customHeight="1">
      <c r="A683" s="61"/>
      <c r="B683" s="63" t="b">
        <v>0</v>
      </c>
      <c r="C683" s="64">
        <v>676.0</v>
      </c>
      <c r="D683" s="65">
        <v>45607.0</v>
      </c>
      <c r="E683" s="67" t="s">
        <v>612</v>
      </c>
      <c r="F683" s="67" t="s">
        <v>334</v>
      </c>
      <c r="G683" s="69">
        <f>SUMPRODUCT(('⚙️Pengaturan'!$C$3:$C$100=$F683)*('⚙️Pengaturan'!$D$3:$D$100))</f>
        <v>175000</v>
      </c>
      <c r="H683" s="70" t="s">
        <v>28</v>
      </c>
      <c r="I683" s="69"/>
      <c r="J683" s="69">
        <f t="shared" si="2"/>
        <v>175000</v>
      </c>
      <c r="K683" s="71"/>
    </row>
    <row r="684" ht="17.25" customHeight="1">
      <c r="A684" s="205"/>
      <c r="B684" s="206" t="b">
        <v>0</v>
      </c>
      <c r="C684" s="207">
        <v>677.0</v>
      </c>
      <c r="D684" s="208">
        <v>45608.0</v>
      </c>
      <c r="E684" s="209" t="s">
        <v>613</v>
      </c>
      <c r="F684" s="209" t="s">
        <v>329</v>
      </c>
      <c r="G684" s="210">
        <f>SUMPRODUCT(('⚙️Pengaturan'!$C$3:$C$100=$F684)*('⚙️Pengaturan'!$D$3:$D$100))</f>
        <v>750000</v>
      </c>
      <c r="H684" s="211" t="s">
        <v>28</v>
      </c>
      <c r="I684" s="210">
        <v>150000.0</v>
      </c>
      <c r="J684" s="210">
        <f t="shared" si="2"/>
        <v>600000</v>
      </c>
      <c r="K684" s="212"/>
    </row>
    <row r="685" ht="17.25" customHeight="1">
      <c r="A685" s="61"/>
      <c r="B685" s="63" t="b">
        <v>0</v>
      </c>
      <c r="C685" s="64">
        <v>678.0</v>
      </c>
      <c r="D685" s="65">
        <v>45608.0</v>
      </c>
      <c r="E685" s="67" t="s">
        <v>606</v>
      </c>
      <c r="F685" s="67" t="s">
        <v>329</v>
      </c>
      <c r="G685" s="69">
        <f>SUMPRODUCT(('⚙️Pengaturan'!$C$3:$C$100=$F685)*('⚙️Pengaturan'!$D$3:$D$100))</f>
        <v>750000</v>
      </c>
      <c r="H685" s="70" t="s">
        <v>28</v>
      </c>
      <c r="I685" s="69">
        <v>450000.0</v>
      </c>
      <c r="J685" s="69">
        <f t="shared" si="2"/>
        <v>300000</v>
      </c>
      <c r="K685" s="71"/>
    </row>
    <row r="686" ht="17.25" customHeight="1">
      <c r="A686" s="61"/>
      <c r="B686" s="63" t="b">
        <v>0</v>
      </c>
      <c r="C686" s="64">
        <v>679.0</v>
      </c>
      <c r="D686" s="65">
        <v>45608.0</v>
      </c>
      <c r="E686" s="67" t="s">
        <v>601</v>
      </c>
      <c r="F686" s="67" t="s">
        <v>334</v>
      </c>
      <c r="G686" s="69">
        <f>SUMPRODUCT(('⚙️Pengaturan'!$C$3:$C$100=$F686)*('⚙️Pengaturan'!$D$3:$D$100))</f>
        <v>175000</v>
      </c>
      <c r="H686" s="70" t="s">
        <v>28</v>
      </c>
      <c r="I686" s="69"/>
      <c r="J686" s="69">
        <f t="shared" si="2"/>
        <v>175000</v>
      </c>
      <c r="K686" s="71"/>
    </row>
    <row r="687" ht="17.25" customHeight="1">
      <c r="A687" s="61"/>
      <c r="B687" s="63" t="b">
        <v>0</v>
      </c>
      <c r="C687" s="64">
        <v>680.0</v>
      </c>
      <c r="D687" s="65">
        <v>45608.0</v>
      </c>
      <c r="E687" s="67" t="s">
        <v>614</v>
      </c>
      <c r="F687" s="67" t="s">
        <v>334</v>
      </c>
      <c r="G687" s="69">
        <f>SUMPRODUCT(('⚙️Pengaturan'!$C$3:$C$100=$F687)*('⚙️Pengaturan'!$D$3:$D$100))</f>
        <v>175000</v>
      </c>
      <c r="H687" s="70" t="s">
        <v>63</v>
      </c>
      <c r="I687" s="69"/>
      <c r="J687" s="69">
        <f t="shared" si="2"/>
        <v>175000</v>
      </c>
      <c r="K687" s="71"/>
    </row>
    <row r="688" ht="17.25" customHeight="1">
      <c r="A688" s="205"/>
      <c r="B688" s="206" t="b">
        <v>0</v>
      </c>
      <c r="C688" s="207">
        <v>681.0</v>
      </c>
      <c r="D688" s="208">
        <v>45609.0</v>
      </c>
      <c r="E688" s="209" t="s">
        <v>607</v>
      </c>
      <c r="F688" s="209" t="s">
        <v>329</v>
      </c>
      <c r="G688" s="210">
        <f>SUMPRODUCT(('⚙️Pengaturan'!$C$3:$C$100=$F688)*('⚙️Pengaturan'!$D$3:$D$100))</f>
        <v>750000</v>
      </c>
      <c r="H688" s="211" t="s">
        <v>63</v>
      </c>
      <c r="I688" s="210">
        <v>175000.0</v>
      </c>
      <c r="J688" s="210">
        <f t="shared" si="2"/>
        <v>575000</v>
      </c>
      <c r="K688" s="212"/>
    </row>
    <row r="689" ht="17.25" customHeight="1">
      <c r="A689" s="61"/>
      <c r="B689" s="63" t="b">
        <v>0</v>
      </c>
      <c r="C689" s="64">
        <v>682.0</v>
      </c>
      <c r="D689" s="65">
        <v>45609.0</v>
      </c>
      <c r="E689" s="67" t="s">
        <v>615</v>
      </c>
      <c r="F689" s="67" t="s">
        <v>334</v>
      </c>
      <c r="G689" s="69">
        <f>SUMPRODUCT(('⚙️Pengaturan'!$C$3:$C$100=$F689)*('⚙️Pengaturan'!$D$3:$D$100))</f>
        <v>175000</v>
      </c>
      <c r="H689" s="70" t="s">
        <v>28</v>
      </c>
      <c r="I689" s="69"/>
      <c r="J689" s="69">
        <f t="shared" si="2"/>
        <v>175000</v>
      </c>
      <c r="K689" s="71"/>
    </row>
    <row r="690" ht="17.25" customHeight="1">
      <c r="A690" s="61"/>
      <c r="B690" s="63" t="b">
        <v>0</v>
      </c>
      <c r="C690" s="64">
        <v>683.0</v>
      </c>
      <c r="D690" s="65">
        <v>45609.0</v>
      </c>
      <c r="E690" s="67" t="s">
        <v>611</v>
      </c>
      <c r="F690" s="67" t="s">
        <v>334</v>
      </c>
      <c r="G690" s="69">
        <f>SUMPRODUCT(('⚙️Pengaturan'!$C$3:$C$100=$F690)*('⚙️Pengaturan'!$D$3:$D$100))</f>
        <v>175000</v>
      </c>
      <c r="H690" s="70" t="s">
        <v>28</v>
      </c>
      <c r="I690" s="69"/>
      <c r="J690" s="69">
        <f t="shared" si="2"/>
        <v>175000</v>
      </c>
      <c r="K690" s="71"/>
    </row>
    <row r="691" ht="17.25" customHeight="1">
      <c r="A691" s="205"/>
      <c r="B691" s="206" t="b">
        <v>0</v>
      </c>
      <c r="C691" s="207">
        <v>684.0</v>
      </c>
      <c r="D691" s="208">
        <v>45610.0</v>
      </c>
      <c r="E691" s="209" t="s">
        <v>616</v>
      </c>
      <c r="F691" s="209" t="s">
        <v>331</v>
      </c>
      <c r="G691" s="210">
        <f>SUMPRODUCT(('⚙️Pengaturan'!$C$3:$C$100=$F691)*('⚙️Pengaturan'!$D$3:$D$100))</f>
        <v>1400000</v>
      </c>
      <c r="H691" s="211" t="s">
        <v>63</v>
      </c>
      <c r="I691" s="210"/>
      <c r="J691" s="210">
        <f t="shared" si="2"/>
        <v>1400000</v>
      </c>
      <c r="K691" s="212"/>
    </row>
    <row r="692" ht="17.25" customHeight="1">
      <c r="A692" s="61"/>
      <c r="B692" s="63" t="b">
        <v>0</v>
      </c>
      <c r="C692" s="64">
        <v>685.0</v>
      </c>
      <c r="D692" s="65">
        <v>45610.0</v>
      </c>
      <c r="E692" s="67" t="s">
        <v>456</v>
      </c>
      <c r="F692" s="67" t="s">
        <v>334</v>
      </c>
      <c r="G692" s="69">
        <f>SUMPRODUCT(('⚙️Pengaturan'!$C$3:$C$100=$F692)*('⚙️Pengaturan'!$D$3:$D$100))</f>
        <v>175000</v>
      </c>
      <c r="H692" s="70" t="s">
        <v>63</v>
      </c>
      <c r="I692" s="69"/>
      <c r="J692" s="69">
        <f t="shared" si="2"/>
        <v>175000</v>
      </c>
      <c r="K692" s="71"/>
    </row>
    <row r="693" ht="17.25" customHeight="1">
      <c r="A693" s="61"/>
      <c r="B693" s="63" t="b">
        <v>0</v>
      </c>
      <c r="C693" s="64">
        <v>686.0</v>
      </c>
      <c r="D693" s="65">
        <v>45610.0</v>
      </c>
      <c r="E693" s="67" t="s">
        <v>617</v>
      </c>
      <c r="F693" s="67" t="s">
        <v>334</v>
      </c>
      <c r="G693" s="69">
        <f>SUMPRODUCT(('⚙️Pengaturan'!$C$3:$C$100=$F693)*('⚙️Pengaturan'!$D$3:$D$100))</f>
        <v>175000</v>
      </c>
      <c r="H693" s="70" t="s">
        <v>28</v>
      </c>
      <c r="I693" s="69"/>
      <c r="J693" s="69">
        <f t="shared" si="2"/>
        <v>175000</v>
      </c>
      <c r="K693" s="71"/>
    </row>
    <row r="694" ht="17.25" customHeight="1">
      <c r="A694" s="61"/>
      <c r="B694" s="63" t="b">
        <v>0</v>
      </c>
      <c r="C694" s="64">
        <v>687.0</v>
      </c>
      <c r="D694" s="65">
        <v>45610.0</v>
      </c>
      <c r="E694" s="67" t="s">
        <v>606</v>
      </c>
      <c r="F694" s="67" t="s">
        <v>329</v>
      </c>
      <c r="G694" s="69">
        <f>SUMPRODUCT(('⚙️Pengaturan'!$C$3:$C$100=$F694)*('⚙️Pengaturan'!$D$3:$D$100))</f>
        <v>750000</v>
      </c>
      <c r="H694" s="70" t="s">
        <v>28</v>
      </c>
      <c r="I694" s="69">
        <v>300000.0</v>
      </c>
      <c r="J694" s="69">
        <f t="shared" si="2"/>
        <v>450000</v>
      </c>
      <c r="K694" s="71"/>
    </row>
    <row r="695" ht="17.25" customHeight="1">
      <c r="A695" s="61"/>
      <c r="B695" s="63" t="b">
        <v>0</v>
      </c>
      <c r="C695" s="64">
        <v>688.0</v>
      </c>
      <c r="D695" s="65">
        <v>45610.0</v>
      </c>
      <c r="E695" s="67" t="s">
        <v>613</v>
      </c>
      <c r="F695" s="67" t="s">
        <v>329</v>
      </c>
      <c r="G695" s="69">
        <f>SUMPRODUCT(('⚙️Pengaturan'!$C$3:$C$100=$F695)*('⚙️Pengaturan'!$D$3:$D$100))</f>
        <v>750000</v>
      </c>
      <c r="H695" s="70" t="s">
        <v>63</v>
      </c>
      <c r="I695" s="69">
        <v>600000.0</v>
      </c>
      <c r="J695" s="69">
        <f t="shared" si="2"/>
        <v>150000</v>
      </c>
      <c r="K695" s="71"/>
    </row>
    <row r="696" ht="17.25" customHeight="1">
      <c r="A696" s="61"/>
      <c r="B696" s="63" t="b">
        <v>0</v>
      </c>
      <c r="C696" s="64">
        <v>689.0</v>
      </c>
      <c r="D696" s="65">
        <v>45610.0</v>
      </c>
      <c r="E696" s="67" t="s">
        <v>372</v>
      </c>
      <c r="F696" s="67" t="s">
        <v>334</v>
      </c>
      <c r="G696" s="69">
        <f>SUMPRODUCT(('⚙️Pengaturan'!$C$3:$C$100=$F696)*('⚙️Pengaturan'!$D$3:$D$100))</f>
        <v>175000</v>
      </c>
      <c r="H696" s="70" t="s">
        <v>63</v>
      </c>
      <c r="I696" s="69"/>
      <c r="J696" s="69">
        <f t="shared" si="2"/>
        <v>175000</v>
      </c>
      <c r="K696" s="71"/>
    </row>
    <row r="697" ht="17.25" customHeight="1">
      <c r="A697" s="205"/>
      <c r="B697" s="206" t="b">
        <v>0</v>
      </c>
      <c r="C697" s="207">
        <v>690.0</v>
      </c>
      <c r="D697" s="208">
        <v>45612.0</v>
      </c>
      <c r="E697" s="209" t="s">
        <v>610</v>
      </c>
      <c r="F697" s="209" t="s">
        <v>334</v>
      </c>
      <c r="G697" s="210">
        <f>SUMPRODUCT(('⚙️Pengaturan'!$C$3:$C$100=$F697)*('⚙️Pengaturan'!$D$3:$D$100))</f>
        <v>175000</v>
      </c>
      <c r="H697" s="211" t="s">
        <v>28</v>
      </c>
      <c r="I697" s="210"/>
      <c r="J697" s="210">
        <f t="shared" si="2"/>
        <v>175000</v>
      </c>
      <c r="K697" s="212"/>
    </row>
    <row r="698" ht="17.25" customHeight="1">
      <c r="A698" s="61"/>
      <c r="B698" s="63" t="b">
        <v>0</v>
      </c>
      <c r="C698" s="64">
        <v>691.0</v>
      </c>
      <c r="D698" s="65">
        <v>45612.0</v>
      </c>
      <c r="E698" s="67" t="s">
        <v>618</v>
      </c>
      <c r="F698" s="67" t="s">
        <v>334</v>
      </c>
      <c r="G698" s="69">
        <f>SUMPRODUCT(('⚙️Pengaturan'!$C$3:$C$100=$F698)*('⚙️Pengaturan'!$D$3:$D$100))</f>
        <v>175000</v>
      </c>
      <c r="H698" s="70" t="s">
        <v>28</v>
      </c>
      <c r="I698" s="69"/>
      <c r="J698" s="69">
        <f t="shared" si="2"/>
        <v>175000</v>
      </c>
      <c r="K698" s="71"/>
    </row>
    <row r="699" ht="17.25" customHeight="1">
      <c r="A699" s="205"/>
      <c r="B699" s="206" t="b">
        <v>0</v>
      </c>
      <c r="C699" s="207">
        <v>692.0</v>
      </c>
      <c r="D699" s="208">
        <v>45613.0</v>
      </c>
      <c r="E699" s="209" t="s">
        <v>456</v>
      </c>
      <c r="F699" s="209" t="s">
        <v>334</v>
      </c>
      <c r="G699" s="210">
        <f>SUMPRODUCT(('⚙️Pengaturan'!$C$3:$C$100=$F699)*('⚙️Pengaturan'!$D$3:$D$100))</f>
        <v>175000</v>
      </c>
      <c r="H699" s="211" t="s">
        <v>63</v>
      </c>
      <c r="I699" s="210"/>
      <c r="J699" s="210">
        <f t="shared" si="2"/>
        <v>175000</v>
      </c>
      <c r="K699" s="212"/>
    </row>
    <row r="700" ht="17.25" customHeight="1">
      <c r="A700" s="205"/>
      <c r="B700" s="206" t="b">
        <v>0</v>
      </c>
      <c r="C700" s="207">
        <v>693.0</v>
      </c>
      <c r="D700" s="208">
        <v>45614.0</v>
      </c>
      <c r="E700" s="209" t="s">
        <v>619</v>
      </c>
      <c r="F700" s="209" t="s">
        <v>334</v>
      </c>
      <c r="G700" s="210">
        <f>SUMPRODUCT(('⚙️Pengaturan'!$C$3:$C$100=$F700)*('⚙️Pengaturan'!$D$3:$D$100))</f>
        <v>175000</v>
      </c>
      <c r="H700" s="211" t="s">
        <v>28</v>
      </c>
      <c r="I700" s="210"/>
      <c r="J700" s="210">
        <f t="shared" si="2"/>
        <v>175000</v>
      </c>
      <c r="K700" s="212"/>
    </row>
    <row r="701" ht="17.25" customHeight="1">
      <c r="A701" s="61"/>
      <c r="B701" s="63" t="b">
        <v>0</v>
      </c>
      <c r="C701" s="64">
        <v>694.0</v>
      </c>
      <c r="D701" s="65">
        <v>45614.0</v>
      </c>
      <c r="E701" s="67" t="s">
        <v>416</v>
      </c>
      <c r="F701" s="67" t="s">
        <v>44</v>
      </c>
      <c r="G701" s="69">
        <f>SUMPRODUCT(('⚙️Pengaturan'!$C$3:$C$100=$F701)*('⚙️Pengaturan'!$D$3:$D$100))</f>
        <v>150000</v>
      </c>
      <c r="H701" s="70" t="s">
        <v>28</v>
      </c>
      <c r="I701" s="69"/>
      <c r="J701" s="69">
        <f t="shared" si="2"/>
        <v>150000</v>
      </c>
      <c r="K701" s="71"/>
    </row>
    <row r="702" ht="17.25" customHeight="1">
      <c r="A702" s="205"/>
      <c r="B702" s="206" t="b">
        <v>0</v>
      </c>
      <c r="C702" s="207">
        <v>695.0</v>
      </c>
      <c r="D702" s="208">
        <v>45615.0</v>
      </c>
      <c r="E702" s="209" t="s">
        <v>427</v>
      </c>
      <c r="F702" s="209" t="s">
        <v>53</v>
      </c>
      <c r="G702" s="210">
        <f>SUMPRODUCT(('⚙️Pengaturan'!$C$3:$C$100=$F702)*('⚙️Pengaturan'!$D$3:$D$100))</f>
        <v>650000</v>
      </c>
      <c r="H702" s="211" t="s">
        <v>63</v>
      </c>
      <c r="I702" s="210"/>
      <c r="J702" s="210">
        <f t="shared" si="2"/>
        <v>650000</v>
      </c>
      <c r="K702" s="212"/>
    </row>
    <row r="703" ht="17.25" customHeight="1">
      <c r="A703" s="205"/>
      <c r="B703" s="206" t="b">
        <v>0</v>
      </c>
      <c r="C703" s="207">
        <v>696.0</v>
      </c>
      <c r="D703" s="208">
        <v>45616.0</v>
      </c>
      <c r="E703" s="209" t="s">
        <v>620</v>
      </c>
      <c r="F703" s="209" t="s">
        <v>329</v>
      </c>
      <c r="G703" s="210">
        <f>SUMPRODUCT(('⚙️Pengaturan'!$C$3:$C$100=$F703)*('⚙️Pengaturan'!$D$3:$D$100))</f>
        <v>750000</v>
      </c>
      <c r="H703" s="211" t="s">
        <v>63</v>
      </c>
      <c r="I703" s="210">
        <v>450000.0</v>
      </c>
      <c r="J703" s="210">
        <f t="shared" si="2"/>
        <v>300000</v>
      </c>
      <c r="K703" s="212"/>
    </row>
    <row r="704" ht="17.25" customHeight="1">
      <c r="A704" s="61"/>
      <c r="B704" s="63" t="b">
        <v>0</v>
      </c>
      <c r="C704" s="64">
        <v>697.0</v>
      </c>
      <c r="D704" s="65">
        <v>45616.0</v>
      </c>
      <c r="E704" s="67" t="s">
        <v>573</v>
      </c>
      <c r="F704" s="67" t="s">
        <v>334</v>
      </c>
      <c r="G704" s="69">
        <f>SUMPRODUCT(('⚙️Pengaturan'!$C$3:$C$100=$F704)*('⚙️Pengaturan'!$D$3:$D$100))</f>
        <v>175000</v>
      </c>
      <c r="H704" s="70" t="s">
        <v>63</v>
      </c>
      <c r="I704" s="69"/>
      <c r="J704" s="69">
        <f t="shared" si="2"/>
        <v>175000</v>
      </c>
      <c r="K704" s="71"/>
    </row>
    <row r="705" ht="17.25" customHeight="1">
      <c r="A705" s="205"/>
      <c r="B705" s="206" t="b">
        <v>0</v>
      </c>
      <c r="C705" s="207">
        <v>698.0</v>
      </c>
      <c r="D705" s="208">
        <v>45617.0</v>
      </c>
      <c r="E705" s="209" t="s">
        <v>621</v>
      </c>
      <c r="F705" s="209" t="s">
        <v>334</v>
      </c>
      <c r="G705" s="210">
        <f>SUMPRODUCT(('⚙️Pengaturan'!$C$3:$C$100=$F705)*('⚙️Pengaturan'!$D$3:$D$100))</f>
        <v>175000</v>
      </c>
      <c r="H705" s="211" t="s">
        <v>28</v>
      </c>
      <c r="I705" s="210"/>
      <c r="J705" s="210">
        <f t="shared" si="2"/>
        <v>175000</v>
      </c>
      <c r="K705" s="212"/>
    </row>
    <row r="706" ht="17.25" customHeight="1">
      <c r="A706" s="205"/>
      <c r="B706" s="206" t="b">
        <v>0</v>
      </c>
      <c r="C706" s="207">
        <v>699.0</v>
      </c>
      <c r="D706" s="208">
        <v>45619.0</v>
      </c>
      <c r="E706" s="209" t="s">
        <v>622</v>
      </c>
      <c r="F706" s="209" t="s">
        <v>334</v>
      </c>
      <c r="G706" s="210">
        <f>SUMPRODUCT(('⚙️Pengaturan'!$C$3:$C$100=$F706)*('⚙️Pengaturan'!$D$3:$D$100))</f>
        <v>175000</v>
      </c>
      <c r="H706" s="211" t="s">
        <v>28</v>
      </c>
      <c r="I706" s="210"/>
      <c r="J706" s="210">
        <f t="shared" si="2"/>
        <v>175000</v>
      </c>
      <c r="K706" s="212"/>
    </row>
    <row r="707" ht="17.25" customHeight="1">
      <c r="A707" s="61"/>
      <c r="B707" s="63" t="b">
        <v>0</v>
      </c>
      <c r="C707" s="64">
        <v>700.0</v>
      </c>
      <c r="D707" s="65">
        <v>45619.0</v>
      </c>
      <c r="E707" s="67" t="s">
        <v>620</v>
      </c>
      <c r="F707" s="67" t="s">
        <v>329</v>
      </c>
      <c r="G707" s="69">
        <f>SUMPRODUCT(('⚙️Pengaturan'!$C$3:$C$100=$F707)*('⚙️Pengaturan'!$D$3:$D$100))</f>
        <v>750000</v>
      </c>
      <c r="H707" s="70" t="s">
        <v>63</v>
      </c>
      <c r="I707" s="69">
        <v>300000.0</v>
      </c>
      <c r="J707" s="69">
        <f t="shared" si="2"/>
        <v>450000</v>
      </c>
      <c r="K707" s="71"/>
    </row>
    <row r="708" ht="17.25" customHeight="1">
      <c r="A708" s="61"/>
      <c r="B708" s="63" t="b">
        <v>0</v>
      </c>
      <c r="C708" s="64">
        <v>701.0</v>
      </c>
      <c r="D708" s="65">
        <v>45619.0</v>
      </c>
      <c r="E708" s="67" t="s">
        <v>623</v>
      </c>
      <c r="F708" s="67" t="s">
        <v>338</v>
      </c>
      <c r="G708" s="69">
        <f>SUMPRODUCT(('⚙️Pengaturan'!$C$3:$C$100=$F708)*('⚙️Pengaturan'!$D$3:$D$100))</f>
        <v>2000000</v>
      </c>
      <c r="H708" s="70" t="s">
        <v>28</v>
      </c>
      <c r="I708" s="69"/>
      <c r="J708" s="69">
        <f t="shared" si="2"/>
        <v>2000000</v>
      </c>
      <c r="K708" s="71"/>
    </row>
    <row r="709" ht="17.25" customHeight="1">
      <c r="A709" s="205"/>
      <c r="B709" s="206" t="b">
        <v>0</v>
      </c>
      <c r="C709" s="207">
        <v>702.0</v>
      </c>
      <c r="D709" s="208">
        <v>45620.0</v>
      </c>
      <c r="E709" s="209" t="s">
        <v>624</v>
      </c>
      <c r="F709" s="209" t="s">
        <v>334</v>
      </c>
      <c r="G709" s="210">
        <f>SUMPRODUCT(('⚙️Pengaturan'!$C$3:$C$100=$F709)*('⚙️Pengaturan'!$D$3:$D$100))</f>
        <v>175000</v>
      </c>
      <c r="H709" s="211" t="s">
        <v>28</v>
      </c>
      <c r="I709" s="210"/>
      <c r="J709" s="210">
        <f t="shared" si="2"/>
        <v>175000</v>
      </c>
      <c r="K709" s="212"/>
    </row>
    <row r="710" ht="17.25" customHeight="1">
      <c r="A710" s="61"/>
      <c r="B710" s="63" t="b">
        <v>0</v>
      </c>
      <c r="C710" s="64">
        <v>703.0</v>
      </c>
      <c r="D710" s="65">
        <v>45620.0</v>
      </c>
      <c r="E710" s="67" t="s">
        <v>625</v>
      </c>
      <c r="F710" s="67" t="s">
        <v>329</v>
      </c>
      <c r="G710" s="69">
        <f>SUMPRODUCT(('⚙️Pengaturan'!$C$3:$C$100=$F710)*('⚙️Pengaturan'!$D$3:$D$100))</f>
        <v>750000</v>
      </c>
      <c r="H710" s="70" t="s">
        <v>28</v>
      </c>
      <c r="I710" s="69"/>
      <c r="J710" s="69">
        <f t="shared" si="2"/>
        <v>750000</v>
      </c>
      <c r="K710" s="71"/>
    </row>
    <row r="711" ht="17.25" customHeight="1">
      <c r="A711" s="61"/>
      <c r="B711" s="63" t="b">
        <v>0</v>
      </c>
      <c r="C711" s="64">
        <v>704.0</v>
      </c>
      <c r="D711" s="65">
        <v>45620.0</v>
      </c>
      <c r="E711" s="67" t="s">
        <v>626</v>
      </c>
      <c r="F711" s="67" t="s">
        <v>329</v>
      </c>
      <c r="G711" s="69">
        <f>SUMPRODUCT(('⚙️Pengaturan'!$C$3:$C$100=$F711)*('⚙️Pengaturan'!$D$3:$D$100))</f>
        <v>750000</v>
      </c>
      <c r="H711" s="70" t="s">
        <v>28</v>
      </c>
      <c r="I711" s="69"/>
      <c r="J711" s="69">
        <f t="shared" si="2"/>
        <v>750000</v>
      </c>
      <c r="K711" s="71"/>
    </row>
    <row r="712" ht="17.25" customHeight="1">
      <c r="A712" s="205"/>
      <c r="B712" s="206" t="b">
        <v>0</v>
      </c>
      <c r="C712" s="207">
        <v>705.0</v>
      </c>
      <c r="D712" s="208">
        <v>45621.0</v>
      </c>
      <c r="E712" s="209" t="s">
        <v>619</v>
      </c>
      <c r="F712" s="209" t="s">
        <v>334</v>
      </c>
      <c r="G712" s="210">
        <f>SUMPRODUCT(('⚙️Pengaturan'!$C$3:$C$100=$F712)*('⚙️Pengaturan'!$D$3:$D$100))</f>
        <v>175000</v>
      </c>
      <c r="H712" s="211" t="s">
        <v>28</v>
      </c>
      <c r="I712" s="210"/>
      <c r="J712" s="210">
        <f t="shared" si="2"/>
        <v>175000</v>
      </c>
      <c r="K712" s="212"/>
    </row>
    <row r="713" ht="17.25" customHeight="1">
      <c r="A713" s="61"/>
      <c r="B713" s="63" t="b">
        <v>0</v>
      </c>
      <c r="C713" s="64">
        <v>706.0</v>
      </c>
      <c r="D713" s="65">
        <v>45621.0</v>
      </c>
      <c r="E713" s="67" t="s">
        <v>416</v>
      </c>
      <c r="F713" s="67" t="s">
        <v>44</v>
      </c>
      <c r="G713" s="69">
        <f>SUMPRODUCT(('⚙️Pengaturan'!$C$3:$C$100=$F713)*('⚙️Pengaturan'!$D$3:$D$100))</f>
        <v>150000</v>
      </c>
      <c r="H713" s="70" t="s">
        <v>28</v>
      </c>
      <c r="I713" s="69"/>
      <c r="J713" s="69">
        <f t="shared" si="2"/>
        <v>150000</v>
      </c>
      <c r="K713" s="71"/>
    </row>
    <row r="714" ht="17.25" customHeight="1">
      <c r="A714" s="205"/>
      <c r="B714" s="206" t="b">
        <v>0</v>
      </c>
      <c r="C714" s="207">
        <v>707.0</v>
      </c>
      <c r="D714" s="208">
        <v>45622.0</v>
      </c>
      <c r="E714" s="209" t="s">
        <v>627</v>
      </c>
      <c r="F714" s="209" t="s">
        <v>329</v>
      </c>
      <c r="G714" s="210">
        <f>SUMPRODUCT(('⚙️Pengaturan'!$C$3:$C$100=$F714)*('⚙️Pengaturan'!$D$3:$D$100))</f>
        <v>750000</v>
      </c>
      <c r="H714" s="211" t="s">
        <v>63</v>
      </c>
      <c r="I714" s="210">
        <v>400000.0</v>
      </c>
      <c r="J714" s="210">
        <f t="shared" si="2"/>
        <v>350000</v>
      </c>
      <c r="K714" s="212"/>
    </row>
    <row r="715" ht="17.25" customHeight="1">
      <c r="A715" s="61"/>
      <c r="B715" s="63" t="b">
        <v>0</v>
      </c>
      <c r="C715" s="64">
        <v>708.0</v>
      </c>
      <c r="D715" s="65">
        <v>45622.0</v>
      </c>
      <c r="E715" s="67" t="s">
        <v>628</v>
      </c>
      <c r="F715" s="67" t="s">
        <v>329</v>
      </c>
      <c r="G715" s="69">
        <f>SUMPRODUCT(('⚙️Pengaturan'!$C$3:$C$100=$F715)*('⚙️Pengaturan'!$D$3:$D$100))</f>
        <v>750000</v>
      </c>
      <c r="H715" s="70" t="s">
        <v>63</v>
      </c>
      <c r="I715" s="69"/>
      <c r="J715" s="69">
        <f t="shared" si="2"/>
        <v>750000</v>
      </c>
      <c r="K715" s="71"/>
    </row>
    <row r="716" ht="17.25" customHeight="1">
      <c r="A716" s="205"/>
      <c r="B716" s="206" t="b">
        <v>0</v>
      </c>
      <c r="C716" s="207">
        <v>709.0</v>
      </c>
      <c r="D716" s="208">
        <v>45623.0</v>
      </c>
      <c r="E716" s="209" t="s">
        <v>629</v>
      </c>
      <c r="F716" s="209" t="s">
        <v>334</v>
      </c>
      <c r="G716" s="210">
        <f>SUMPRODUCT(('⚙️Pengaturan'!$C$3:$C$100=$F716)*('⚙️Pengaturan'!$D$3:$D$100))</f>
        <v>175000</v>
      </c>
      <c r="H716" s="211" t="s">
        <v>63</v>
      </c>
      <c r="I716" s="210">
        <v>70000.0</v>
      </c>
      <c r="J716" s="210">
        <f t="shared" si="2"/>
        <v>105000</v>
      </c>
      <c r="K716" s="212"/>
    </row>
    <row r="717" ht="17.25" customHeight="1">
      <c r="A717" s="61"/>
      <c r="B717" s="63" t="b">
        <v>0</v>
      </c>
      <c r="C717" s="64">
        <v>710.0</v>
      </c>
      <c r="D717" s="65">
        <v>45623.0</v>
      </c>
      <c r="E717" s="67" t="s">
        <v>630</v>
      </c>
      <c r="F717" s="67" t="s">
        <v>334</v>
      </c>
      <c r="G717" s="69">
        <f>SUMPRODUCT(('⚙️Pengaturan'!$C$3:$C$100=$F717)*('⚙️Pengaturan'!$D$3:$D$100))</f>
        <v>175000</v>
      </c>
      <c r="H717" s="70" t="s">
        <v>63</v>
      </c>
      <c r="I717" s="69">
        <v>70000.0</v>
      </c>
      <c r="J717" s="69">
        <f t="shared" si="2"/>
        <v>105000</v>
      </c>
      <c r="K717" s="71"/>
    </row>
    <row r="718" ht="17.25" customHeight="1">
      <c r="A718" s="61"/>
      <c r="B718" s="63" t="b">
        <v>0</v>
      </c>
      <c r="C718" s="64">
        <v>711.0</v>
      </c>
      <c r="D718" s="65">
        <v>45623.0</v>
      </c>
      <c r="E718" s="67" t="s">
        <v>372</v>
      </c>
      <c r="F718" s="67" t="s">
        <v>334</v>
      </c>
      <c r="G718" s="69">
        <f>SUMPRODUCT(('⚙️Pengaturan'!$C$3:$C$100=$F718)*('⚙️Pengaturan'!$D$3:$D$100))</f>
        <v>175000</v>
      </c>
      <c r="H718" s="70" t="s">
        <v>28</v>
      </c>
      <c r="I718" s="69">
        <v>70000.0</v>
      </c>
      <c r="J718" s="69">
        <f t="shared" si="2"/>
        <v>105000</v>
      </c>
      <c r="K718" s="71"/>
    </row>
    <row r="719" ht="17.25" customHeight="1">
      <c r="A719" s="61"/>
      <c r="B719" s="63" t="b">
        <v>0</v>
      </c>
      <c r="C719" s="64">
        <v>712.0</v>
      </c>
      <c r="D719" s="65">
        <v>45623.0</v>
      </c>
      <c r="E719" s="67" t="s">
        <v>631</v>
      </c>
      <c r="F719" s="67" t="s">
        <v>334</v>
      </c>
      <c r="G719" s="69">
        <f>SUMPRODUCT(('⚙️Pengaturan'!$C$3:$C$100=$F719)*('⚙️Pengaturan'!$D$3:$D$100))</f>
        <v>175000</v>
      </c>
      <c r="H719" s="70" t="s">
        <v>28</v>
      </c>
      <c r="I719" s="69">
        <v>70000.0</v>
      </c>
      <c r="J719" s="69">
        <f t="shared" si="2"/>
        <v>105000</v>
      </c>
      <c r="K719" s="71"/>
    </row>
    <row r="720" ht="17.25" customHeight="1">
      <c r="A720" s="61"/>
      <c r="B720" s="63" t="b">
        <v>0</v>
      </c>
      <c r="C720" s="64">
        <v>713.0</v>
      </c>
      <c r="D720" s="65">
        <v>45623.0</v>
      </c>
      <c r="E720" s="67" t="s">
        <v>632</v>
      </c>
      <c r="F720" s="67" t="s">
        <v>334</v>
      </c>
      <c r="G720" s="69">
        <f>SUMPRODUCT(('⚙️Pengaturan'!$C$3:$C$100=$F720)*('⚙️Pengaturan'!$D$3:$D$100))</f>
        <v>175000</v>
      </c>
      <c r="H720" s="70" t="s">
        <v>28</v>
      </c>
      <c r="I720" s="69"/>
      <c r="J720" s="69">
        <f t="shared" si="2"/>
        <v>175000</v>
      </c>
      <c r="K720" s="71"/>
    </row>
    <row r="721" ht="17.25" customHeight="1">
      <c r="A721" s="61"/>
      <c r="B721" s="63" t="b">
        <v>0</v>
      </c>
      <c r="C721" s="64">
        <v>714.0</v>
      </c>
      <c r="D721" s="65">
        <v>45623.0</v>
      </c>
      <c r="E721" s="67" t="s">
        <v>633</v>
      </c>
      <c r="F721" s="67" t="s">
        <v>338</v>
      </c>
      <c r="G721" s="69">
        <f>SUMPRODUCT(('⚙️Pengaturan'!$C$3:$C$100=$F721)*('⚙️Pengaturan'!$D$3:$D$100))</f>
        <v>2000000</v>
      </c>
      <c r="H721" s="70" t="s">
        <v>63</v>
      </c>
      <c r="I721" s="69"/>
      <c r="J721" s="69">
        <f t="shared" si="2"/>
        <v>2000000</v>
      </c>
      <c r="K721" s="71"/>
    </row>
    <row r="722" ht="17.25" customHeight="1">
      <c r="A722" s="61"/>
      <c r="B722" s="63" t="b">
        <v>0</v>
      </c>
      <c r="C722" s="64">
        <v>715.0</v>
      </c>
      <c r="D722" s="65">
        <v>45623.0</v>
      </c>
      <c r="E722" s="67" t="s">
        <v>573</v>
      </c>
      <c r="F722" s="67" t="s">
        <v>334</v>
      </c>
      <c r="G722" s="69">
        <f>SUMPRODUCT(('⚙️Pengaturan'!$C$3:$C$100=$F722)*('⚙️Pengaturan'!$D$3:$D$100))</f>
        <v>175000</v>
      </c>
      <c r="H722" s="70" t="s">
        <v>63</v>
      </c>
      <c r="I722" s="69">
        <v>70000.0</v>
      </c>
      <c r="J722" s="69">
        <f t="shared" si="2"/>
        <v>105000</v>
      </c>
      <c r="K722" s="71"/>
    </row>
    <row r="723" ht="17.25" customHeight="1">
      <c r="A723" s="205"/>
      <c r="B723" s="206" t="b">
        <v>0</v>
      </c>
      <c r="C723" s="207">
        <v>716.0</v>
      </c>
      <c r="D723" s="208">
        <v>45624.0</v>
      </c>
      <c r="E723" s="209" t="s">
        <v>634</v>
      </c>
      <c r="F723" s="209" t="s">
        <v>334</v>
      </c>
      <c r="G723" s="210">
        <f>SUMPRODUCT(('⚙️Pengaturan'!$C$3:$C$100=$F723)*('⚙️Pengaturan'!$D$3:$D$100))</f>
        <v>175000</v>
      </c>
      <c r="H723" s="211" t="s">
        <v>28</v>
      </c>
      <c r="I723" s="210"/>
      <c r="J723" s="210">
        <f t="shared" si="2"/>
        <v>175000</v>
      </c>
      <c r="K723" s="212"/>
    </row>
    <row r="724" ht="17.25" customHeight="1">
      <c r="A724" s="205"/>
      <c r="B724" s="206" t="b">
        <v>0</v>
      </c>
      <c r="C724" s="207">
        <v>717.0</v>
      </c>
      <c r="D724" s="208">
        <v>45626.0</v>
      </c>
      <c r="E724" s="209" t="s">
        <v>493</v>
      </c>
      <c r="F724" s="209" t="s">
        <v>329</v>
      </c>
      <c r="G724" s="210">
        <f>SUMPRODUCT(('⚙️Pengaturan'!$C$3:$C$100=$F724)*('⚙️Pengaturan'!$D$3:$D$100))</f>
        <v>750000</v>
      </c>
      <c r="H724" s="211" t="s">
        <v>28</v>
      </c>
      <c r="I724" s="210"/>
      <c r="J724" s="210">
        <f t="shared" si="2"/>
        <v>750000</v>
      </c>
      <c r="K724" s="212"/>
    </row>
    <row r="725" ht="17.25" customHeight="1">
      <c r="A725" s="61"/>
      <c r="B725" s="63" t="b">
        <v>0</v>
      </c>
      <c r="C725" s="64">
        <v>718.0</v>
      </c>
      <c r="D725" s="65">
        <v>45626.0</v>
      </c>
      <c r="E725" s="67" t="s">
        <v>635</v>
      </c>
      <c r="F725" s="67" t="s">
        <v>334</v>
      </c>
      <c r="G725" s="69">
        <f>SUMPRODUCT(('⚙️Pengaturan'!$C$3:$C$100=$F725)*('⚙️Pengaturan'!$D$3:$D$100))</f>
        <v>175000</v>
      </c>
      <c r="H725" s="70" t="s">
        <v>28</v>
      </c>
      <c r="I725" s="69"/>
      <c r="J725" s="69">
        <f t="shared" si="2"/>
        <v>175000</v>
      </c>
      <c r="K725" s="71"/>
    </row>
    <row r="726" ht="17.25" customHeight="1">
      <c r="A726" s="61"/>
      <c r="B726" s="63" t="b">
        <v>0</v>
      </c>
      <c r="C726" s="64">
        <v>719.0</v>
      </c>
      <c r="D726" s="65">
        <v>45626.0</v>
      </c>
      <c r="E726" s="67" t="s">
        <v>407</v>
      </c>
      <c r="F726" s="67" t="s">
        <v>334</v>
      </c>
      <c r="G726" s="69">
        <f>SUMPRODUCT(('⚙️Pengaturan'!$C$3:$C$100=$F726)*('⚙️Pengaturan'!$D$3:$D$100))</f>
        <v>175000</v>
      </c>
      <c r="H726" s="70" t="s">
        <v>28</v>
      </c>
      <c r="I726" s="69"/>
      <c r="J726" s="69">
        <f t="shared" si="2"/>
        <v>175000</v>
      </c>
      <c r="K726" s="71"/>
    </row>
    <row r="727" ht="17.25" customHeight="1">
      <c r="A727" s="61"/>
      <c r="B727" s="63" t="b">
        <v>0</v>
      </c>
      <c r="C727" s="64">
        <v>720.0</v>
      </c>
      <c r="D727" s="65">
        <v>45626.0</v>
      </c>
      <c r="E727" s="67" t="s">
        <v>636</v>
      </c>
      <c r="F727" s="67" t="s">
        <v>334</v>
      </c>
      <c r="G727" s="69">
        <f>SUMPRODUCT(('⚙️Pengaturan'!$C$3:$C$100=$F727)*('⚙️Pengaturan'!$D$3:$D$100))</f>
        <v>175000</v>
      </c>
      <c r="H727" s="70" t="s">
        <v>28</v>
      </c>
      <c r="I727" s="69"/>
      <c r="J727" s="69">
        <f t="shared" si="2"/>
        <v>175000</v>
      </c>
      <c r="K727" s="71"/>
    </row>
    <row r="728" ht="17.25" customHeight="1">
      <c r="A728" s="61"/>
      <c r="B728" s="63" t="b">
        <v>0</v>
      </c>
      <c r="C728" s="64">
        <v>721.0</v>
      </c>
      <c r="D728" s="65">
        <v>45626.0</v>
      </c>
      <c r="E728" s="67" t="s">
        <v>632</v>
      </c>
      <c r="F728" s="67" t="s">
        <v>329</v>
      </c>
      <c r="G728" s="69">
        <f>SUMPRODUCT(('⚙️Pengaturan'!$C$3:$C$100=$F728)*('⚙️Pengaturan'!$D$3:$D$100))</f>
        <v>750000</v>
      </c>
      <c r="H728" s="70" t="s">
        <v>28</v>
      </c>
      <c r="I728" s="69"/>
      <c r="J728" s="69">
        <f t="shared" si="2"/>
        <v>750000</v>
      </c>
      <c r="K728" s="71"/>
    </row>
    <row r="729" ht="17.25" customHeight="1">
      <c r="A729" s="205"/>
      <c r="B729" s="206" t="b">
        <v>0</v>
      </c>
      <c r="C729" s="207">
        <v>722.0</v>
      </c>
      <c r="D729" s="208">
        <v>45627.0</v>
      </c>
      <c r="E729" s="209" t="s">
        <v>637</v>
      </c>
      <c r="F729" s="209" t="s">
        <v>334</v>
      </c>
      <c r="G729" s="210">
        <f>SUMPRODUCT(('⚙️Pengaturan'!$C$3:$C$100=$F729)*('⚙️Pengaturan'!$D$3:$D$100))</f>
        <v>175000</v>
      </c>
      <c r="H729" s="211" t="s">
        <v>28</v>
      </c>
      <c r="I729" s="210"/>
      <c r="J729" s="210">
        <f t="shared" si="2"/>
        <v>175000</v>
      </c>
      <c r="K729" s="212"/>
    </row>
    <row r="730" ht="17.25" customHeight="1">
      <c r="A730" s="61"/>
      <c r="B730" s="63" t="b">
        <v>0</v>
      </c>
      <c r="C730" s="64">
        <v>723.0</v>
      </c>
      <c r="D730" s="65">
        <v>45627.0</v>
      </c>
      <c r="E730" s="67" t="s">
        <v>638</v>
      </c>
      <c r="F730" s="67" t="s">
        <v>329</v>
      </c>
      <c r="G730" s="69">
        <f>SUMPRODUCT(('⚙️Pengaturan'!$C$3:$C$100=$F730)*('⚙️Pengaturan'!$D$3:$D$100))</f>
        <v>750000</v>
      </c>
      <c r="H730" s="70" t="s">
        <v>28</v>
      </c>
      <c r="I730" s="69"/>
      <c r="J730" s="69">
        <f t="shared" si="2"/>
        <v>750000</v>
      </c>
      <c r="K730" s="71"/>
    </row>
    <row r="731" ht="17.25" customHeight="1">
      <c r="A731" s="205"/>
      <c r="B731" s="206" t="b">
        <v>0</v>
      </c>
      <c r="C731" s="207">
        <v>724.0</v>
      </c>
      <c r="D731" s="208">
        <v>45629.0</v>
      </c>
      <c r="E731" s="209" t="s">
        <v>416</v>
      </c>
      <c r="F731" s="209" t="s">
        <v>44</v>
      </c>
      <c r="G731" s="210">
        <f>SUMPRODUCT(('⚙️Pengaturan'!$C$3:$C$100=$F731)*('⚙️Pengaturan'!$D$3:$D$100))</f>
        <v>150000</v>
      </c>
      <c r="H731" s="211" t="s">
        <v>28</v>
      </c>
      <c r="I731" s="210"/>
      <c r="J731" s="210">
        <f t="shared" si="2"/>
        <v>150000</v>
      </c>
      <c r="K731" s="212"/>
    </row>
    <row r="732" ht="17.25" customHeight="1">
      <c r="A732" s="61"/>
      <c r="B732" s="63" t="b">
        <v>0</v>
      </c>
      <c r="C732" s="64">
        <v>725.0</v>
      </c>
      <c r="D732" s="65">
        <v>45629.0</v>
      </c>
      <c r="E732" s="67" t="s">
        <v>639</v>
      </c>
      <c r="F732" s="67" t="s">
        <v>334</v>
      </c>
      <c r="G732" s="69">
        <f>SUMPRODUCT(('⚙️Pengaturan'!$C$3:$C$100=$F732)*('⚙️Pengaturan'!$D$3:$D$100))</f>
        <v>175000</v>
      </c>
      <c r="H732" s="70" t="s">
        <v>63</v>
      </c>
      <c r="I732" s="69"/>
      <c r="J732" s="69">
        <f t="shared" si="2"/>
        <v>175000</v>
      </c>
      <c r="K732" s="71"/>
    </row>
    <row r="733" ht="17.25" customHeight="1">
      <c r="A733" s="61"/>
      <c r="B733" s="63" t="b">
        <v>0</v>
      </c>
      <c r="C733" s="64">
        <v>726.0</v>
      </c>
      <c r="D733" s="65">
        <v>45629.0</v>
      </c>
      <c r="E733" s="67" t="s">
        <v>640</v>
      </c>
      <c r="F733" s="67" t="s">
        <v>329</v>
      </c>
      <c r="G733" s="69">
        <f>SUMPRODUCT(('⚙️Pengaturan'!$C$3:$C$100=$F733)*('⚙️Pengaturan'!$D$3:$D$100))</f>
        <v>750000</v>
      </c>
      <c r="H733" s="70" t="s">
        <v>28</v>
      </c>
      <c r="I733" s="69"/>
      <c r="J733" s="69">
        <f t="shared" si="2"/>
        <v>750000</v>
      </c>
      <c r="K733" s="71"/>
    </row>
    <row r="734" ht="17.25" customHeight="1">
      <c r="A734" s="205"/>
      <c r="B734" s="206" t="b">
        <v>0</v>
      </c>
      <c r="C734" s="207">
        <v>727.0</v>
      </c>
      <c r="D734" s="208">
        <v>45630.0</v>
      </c>
      <c r="E734" s="209" t="s">
        <v>641</v>
      </c>
      <c r="F734" s="209" t="s">
        <v>334</v>
      </c>
      <c r="G734" s="210">
        <f>SUMPRODUCT(('⚙️Pengaturan'!$C$3:$C$100=$F734)*('⚙️Pengaturan'!$D$3:$D$100))</f>
        <v>175000</v>
      </c>
      <c r="H734" s="211" t="s">
        <v>63</v>
      </c>
      <c r="I734" s="210"/>
      <c r="J734" s="210">
        <f t="shared" si="2"/>
        <v>175000</v>
      </c>
      <c r="K734" s="212"/>
    </row>
    <row r="735" ht="17.25" customHeight="1">
      <c r="A735" s="61"/>
      <c r="B735" s="63" t="b">
        <v>0</v>
      </c>
      <c r="C735" s="64">
        <v>728.0</v>
      </c>
      <c r="D735" s="65">
        <v>45630.0</v>
      </c>
      <c r="E735" s="67" t="s">
        <v>627</v>
      </c>
      <c r="F735" s="67" t="s">
        <v>329</v>
      </c>
      <c r="G735" s="69">
        <f>SUMPRODUCT(('⚙️Pengaturan'!$C$3:$C$100=$F735)*('⚙️Pengaturan'!$D$3:$D$100))</f>
        <v>750000</v>
      </c>
      <c r="H735" s="70" t="s">
        <v>63</v>
      </c>
      <c r="I735" s="69">
        <v>350000.0</v>
      </c>
      <c r="J735" s="69">
        <f t="shared" si="2"/>
        <v>400000</v>
      </c>
      <c r="K735" s="71"/>
    </row>
    <row r="736" ht="17.25" customHeight="1">
      <c r="A736" s="61"/>
      <c r="B736" s="63" t="b">
        <v>0</v>
      </c>
      <c r="C736" s="64">
        <v>729.0</v>
      </c>
      <c r="D736" s="65">
        <v>45630.0</v>
      </c>
      <c r="E736" s="67" t="s">
        <v>637</v>
      </c>
      <c r="F736" s="67" t="s">
        <v>334</v>
      </c>
      <c r="G736" s="69">
        <f>SUMPRODUCT(('⚙️Pengaturan'!$C$3:$C$100=$F736)*('⚙️Pengaturan'!$D$3:$D$100))</f>
        <v>175000</v>
      </c>
      <c r="H736" s="70" t="s">
        <v>28</v>
      </c>
      <c r="I736" s="69"/>
      <c r="J736" s="69">
        <f t="shared" si="2"/>
        <v>175000</v>
      </c>
      <c r="K736" s="71"/>
    </row>
    <row r="737" ht="17.25" customHeight="1">
      <c r="A737" s="61"/>
      <c r="B737" s="63" t="b">
        <v>0</v>
      </c>
      <c r="C737" s="64">
        <v>730.0</v>
      </c>
      <c r="D737" s="65">
        <v>45631.0</v>
      </c>
      <c r="E737" s="67" t="s">
        <v>492</v>
      </c>
      <c r="F737" s="67" t="s">
        <v>334</v>
      </c>
      <c r="G737" s="69">
        <f>SUMPRODUCT(('⚙️Pengaturan'!$C$3:$C$100=$F737)*('⚙️Pengaturan'!$D$3:$D$100))</f>
        <v>175000</v>
      </c>
      <c r="H737" s="70" t="s">
        <v>28</v>
      </c>
      <c r="I737" s="69"/>
      <c r="J737" s="69">
        <f t="shared" si="2"/>
        <v>175000</v>
      </c>
      <c r="K737" s="71"/>
    </row>
    <row r="738" ht="17.25" customHeight="1">
      <c r="A738" s="205"/>
      <c r="B738" s="206" t="b">
        <v>0</v>
      </c>
      <c r="C738" s="207">
        <v>731.0</v>
      </c>
      <c r="D738" s="208">
        <v>45633.0</v>
      </c>
      <c r="E738" s="209" t="s">
        <v>642</v>
      </c>
      <c r="F738" s="209" t="s">
        <v>329</v>
      </c>
      <c r="G738" s="210">
        <f>SUMPRODUCT(('⚙️Pengaturan'!$C$3:$C$100=$F738)*('⚙️Pengaturan'!$D$3:$D$100))</f>
        <v>750000</v>
      </c>
      <c r="H738" s="211" t="s">
        <v>28</v>
      </c>
      <c r="I738" s="210">
        <v>450000.0</v>
      </c>
      <c r="J738" s="210">
        <f t="shared" si="2"/>
        <v>300000</v>
      </c>
      <c r="K738" s="212"/>
    </row>
    <row r="739" ht="17.25" customHeight="1">
      <c r="A739" s="61"/>
      <c r="B739" s="63" t="b">
        <v>0</v>
      </c>
      <c r="C739" s="64">
        <v>732.0</v>
      </c>
      <c r="D739" s="65">
        <v>45633.0</v>
      </c>
      <c r="E739" s="67" t="s">
        <v>458</v>
      </c>
      <c r="F739" s="67" t="s">
        <v>334</v>
      </c>
      <c r="G739" s="69">
        <f>SUMPRODUCT(('⚙️Pengaturan'!$C$3:$C$100=$F739)*('⚙️Pengaturan'!$D$3:$D$100))</f>
        <v>175000</v>
      </c>
      <c r="H739" s="70" t="s">
        <v>28</v>
      </c>
      <c r="I739" s="69"/>
      <c r="J739" s="69">
        <f t="shared" si="2"/>
        <v>175000</v>
      </c>
      <c r="K739" s="71"/>
    </row>
    <row r="740" ht="17.25" customHeight="1">
      <c r="A740" s="61"/>
      <c r="B740" s="63" t="b">
        <v>0</v>
      </c>
      <c r="C740" s="64">
        <v>733.0</v>
      </c>
      <c r="D740" s="65">
        <v>45633.0</v>
      </c>
      <c r="E740" s="67" t="s">
        <v>492</v>
      </c>
      <c r="F740" s="67" t="s">
        <v>329</v>
      </c>
      <c r="G740" s="69">
        <f>SUMPRODUCT(('⚙️Pengaturan'!$C$3:$C$100=$F740)*('⚙️Pengaturan'!$D$3:$D$100))</f>
        <v>750000</v>
      </c>
      <c r="H740" s="70" t="s">
        <v>63</v>
      </c>
      <c r="I740" s="69"/>
      <c r="J740" s="69">
        <f t="shared" si="2"/>
        <v>750000</v>
      </c>
      <c r="K740" s="71"/>
    </row>
    <row r="741" ht="17.25" customHeight="1">
      <c r="A741" s="61"/>
      <c r="B741" s="63" t="b">
        <v>0</v>
      </c>
      <c r="C741" s="64">
        <v>734.0</v>
      </c>
      <c r="D741" s="65">
        <v>45633.0</v>
      </c>
      <c r="E741" s="67" t="s">
        <v>474</v>
      </c>
      <c r="F741" s="67" t="s">
        <v>67</v>
      </c>
      <c r="G741" s="69">
        <f>SUMPRODUCT(('⚙️Pengaturan'!$C$3:$C$100=$F741)*('⚙️Pengaturan'!$D$3:$D$100))</f>
        <v>1200000</v>
      </c>
      <c r="H741" s="70" t="s">
        <v>28</v>
      </c>
      <c r="I741" s="69"/>
      <c r="J741" s="69">
        <f t="shared" si="2"/>
        <v>1200000</v>
      </c>
      <c r="K741" s="71"/>
    </row>
    <row r="742" ht="17.25" customHeight="1">
      <c r="A742" s="61"/>
      <c r="B742" s="63" t="b">
        <v>0</v>
      </c>
      <c r="C742" s="64">
        <v>735.0</v>
      </c>
      <c r="D742" s="65">
        <v>45633.0</v>
      </c>
      <c r="E742" s="67" t="s">
        <v>643</v>
      </c>
      <c r="F742" s="67" t="s">
        <v>334</v>
      </c>
      <c r="G742" s="69">
        <f>SUMPRODUCT(('⚙️Pengaturan'!$C$3:$C$100=$F742)*('⚙️Pengaturan'!$D$3:$D$100))</f>
        <v>175000</v>
      </c>
      <c r="H742" s="70" t="s">
        <v>28</v>
      </c>
      <c r="I742" s="69"/>
      <c r="J742" s="69">
        <f t="shared" si="2"/>
        <v>175000</v>
      </c>
      <c r="K742" s="71"/>
    </row>
    <row r="743" ht="17.25" customHeight="1">
      <c r="A743" s="61"/>
      <c r="B743" s="63" t="b">
        <v>0</v>
      </c>
      <c r="C743" s="64">
        <v>736.0</v>
      </c>
      <c r="D743" s="65">
        <v>45633.0</v>
      </c>
      <c r="E743" s="67" t="s">
        <v>604</v>
      </c>
      <c r="F743" s="67" t="s">
        <v>334</v>
      </c>
      <c r="G743" s="69">
        <f>SUMPRODUCT(('⚙️Pengaturan'!$C$3:$C$100=$F743)*('⚙️Pengaturan'!$D$3:$D$100))</f>
        <v>175000</v>
      </c>
      <c r="H743" s="70" t="s">
        <v>63</v>
      </c>
      <c r="I743" s="69"/>
      <c r="J743" s="69">
        <f t="shared" si="2"/>
        <v>175000</v>
      </c>
      <c r="K743" s="71"/>
    </row>
    <row r="744" ht="17.25" customHeight="1">
      <c r="A744" s="205"/>
      <c r="B744" s="206" t="b">
        <v>0</v>
      </c>
      <c r="C744" s="207">
        <v>737.0</v>
      </c>
      <c r="D744" s="208">
        <v>45634.0</v>
      </c>
      <c r="E744" s="209" t="s">
        <v>644</v>
      </c>
      <c r="F744" s="209" t="s">
        <v>334</v>
      </c>
      <c r="G744" s="210">
        <f>SUMPRODUCT(('⚙️Pengaturan'!$C$3:$C$100=$F744)*('⚙️Pengaturan'!$D$3:$D$100))</f>
        <v>175000</v>
      </c>
      <c r="H744" s="211" t="s">
        <v>28</v>
      </c>
      <c r="I744" s="210"/>
      <c r="J744" s="210">
        <f t="shared" si="2"/>
        <v>175000</v>
      </c>
      <c r="K744" s="212"/>
    </row>
    <row r="745" ht="17.25" customHeight="1">
      <c r="A745" s="205"/>
      <c r="B745" s="206" t="b">
        <v>0</v>
      </c>
      <c r="C745" s="207">
        <v>738.0</v>
      </c>
      <c r="D745" s="208">
        <v>45635.0</v>
      </c>
      <c r="E745" s="209" t="s">
        <v>645</v>
      </c>
      <c r="F745" s="209" t="s">
        <v>334</v>
      </c>
      <c r="G745" s="210">
        <f>SUMPRODUCT(('⚙️Pengaturan'!$C$3:$C$100=$F745)*('⚙️Pengaturan'!$D$3:$D$100))</f>
        <v>175000</v>
      </c>
      <c r="H745" s="211" t="s">
        <v>28</v>
      </c>
      <c r="I745" s="210"/>
      <c r="J745" s="210">
        <f t="shared" si="2"/>
        <v>175000</v>
      </c>
      <c r="K745" s="212"/>
    </row>
    <row r="746" ht="17.25" customHeight="1">
      <c r="A746" s="61"/>
      <c r="B746" s="63" t="b">
        <v>0</v>
      </c>
      <c r="C746" s="64">
        <v>739.0</v>
      </c>
      <c r="D746" s="65">
        <v>45635.0</v>
      </c>
      <c r="E746" s="67" t="s">
        <v>541</v>
      </c>
      <c r="F746" s="67" t="s">
        <v>329</v>
      </c>
      <c r="G746" s="69">
        <f>SUMPRODUCT(('⚙️Pengaturan'!$C$3:$C$100=$F746)*('⚙️Pengaturan'!$D$3:$D$100))</f>
        <v>750000</v>
      </c>
      <c r="H746" s="70" t="s">
        <v>28</v>
      </c>
      <c r="I746" s="69">
        <v>450000.0</v>
      </c>
      <c r="J746" s="69">
        <f t="shared" si="2"/>
        <v>300000</v>
      </c>
      <c r="K746" s="71"/>
    </row>
    <row r="747" ht="17.25" customHeight="1">
      <c r="A747" s="205"/>
      <c r="B747" s="206" t="b">
        <v>0</v>
      </c>
      <c r="C747" s="207">
        <v>740.0</v>
      </c>
      <c r="D747" s="208">
        <v>45636.0</v>
      </c>
      <c r="E747" s="209" t="s">
        <v>416</v>
      </c>
      <c r="F747" s="209" t="s">
        <v>44</v>
      </c>
      <c r="G747" s="210">
        <f>SUMPRODUCT(('⚙️Pengaturan'!$C$3:$C$100=$F747)*('⚙️Pengaturan'!$D$3:$D$100))</f>
        <v>150000</v>
      </c>
      <c r="H747" s="211" t="s">
        <v>28</v>
      </c>
      <c r="I747" s="210"/>
      <c r="J747" s="210">
        <f t="shared" si="2"/>
        <v>150000</v>
      </c>
      <c r="K747" s="212"/>
    </row>
    <row r="748" ht="17.25" customHeight="1">
      <c r="A748" s="61"/>
      <c r="B748" s="63" t="b">
        <v>0</v>
      </c>
      <c r="C748" s="64">
        <v>741.0</v>
      </c>
      <c r="D748" s="65">
        <v>45636.0</v>
      </c>
      <c r="E748" s="67" t="s">
        <v>646</v>
      </c>
      <c r="F748" s="67" t="s">
        <v>334</v>
      </c>
      <c r="G748" s="69">
        <f>SUMPRODUCT(('⚙️Pengaturan'!$C$3:$C$100=$F748)*('⚙️Pengaturan'!$D$3:$D$100))</f>
        <v>175000</v>
      </c>
      <c r="H748" s="70" t="s">
        <v>28</v>
      </c>
      <c r="I748" s="69"/>
      <c r="J748" s="69">
        <f t="shared" si="2"/>
        <v>175000</v>
      </c>
      <c r="K748" s="71"/>
    </row>
    <row r="749" ht="17.25" customHeight="1">
      <c r="A749" s="61"/>
      <c r="B749" s="63" t="b">
        <v>0</v>
      </c>
      <c r="C749" s="64">
        <v>742.0</v>
      </c>
      <c r="D749" s="65">
        <v>45636.0</v>
      </c>
      <c r="E749" s="67" t="s">
        <v>647</v>
      </c>
      <c r="F749" s="67" t="s">
        <v>334</v>
      </c>
      <c r="G749" s="69">
        <f>SUMPRODUCT(('⚙️Pengaturan'!$C$3:$C$100=$F749)*('⚙️Pengaturan'!$D$3:$D$100))</f>
        <v>175000</v>
      </c>
      <c r="H749" s="70" t="s">
        <v>63</v>
      </c>
      <c r="I749" s="69"/>
      <c r="J749" s="69">
        <f t="shared" si="2"/>
        <v>175000</v>
      </c>
      <c r="K749" s="71"/>
    </row>
    <row r="750" ht="17.25" customHeight="1">
      <c r="A750" s="61"/>
      <c r="B750" s="63" t="b">
        <v>0</v>
      </c>
      <c r="C750" s="64">
        <v>743.0</v>
      </c>
      <c r="D750" s="65">
        <v>45636.0</v>
      </c>
      <c r="E750" s="67" t="s">
        <v>648</v>
      </c>
      <c r="F750" s="67" t="s">
        <v>334</v>
      </c>
      <c r="G750" s="69">
        <f>SUMPRODUCT(('⚙️Pengaturan'!$C$3:$C$100=$F750)*('⚙️Pengaturan'!$D$3:$D$100))</f>
        <v>175000</v>
      </c>
      <c r="H750" s="70" t="s">
        <v>28</v>
      </c>
      <c r="I750" s="69"/>
      <c r="J750" s="69">
        <f t="shared" si="2"/>
        <v>175000</v>
      </c>
      <c r="K750" s="71"/>
    </row>
    <row r="751" ht="17.25" customHeight="1">
      <c r="A751" s="205"/>
      <c r="B751" s="206" t="b">
        <v>0</v>
      </c>
      <c r="C751" s="207">
        <v>744.0</v>
      </c>
      <c r="D751" s="208">
        <v>45638.0</v>
      </c>
      <c r="E751" s="209" t="s">
        <v>649</v>
      </c>
      <c r="F751" s="209" t="s">
        <v>336</v>
      </c>
      <c r="G751" s="210">
        <f>SUMPRODUCT(('⚙️Pengaturan'!$C$3:$C$100=$F751)*('⚙️Pengaturan'!$D$3:$D$100))</f>
        <v>225000</v>
      </c>
      <c r="H751" s="211" t="s">
        <v>28</v>
      </c>
      <c r="I751" s="210"/>
      <c r="J751" s="210">
        <f t="shared" si="2"/>
        <v>225000</v>
      </c>
      <c r="K751" s="212"/>
    </row>
    <row r="752" ht="17.25" customHeight="1">
      <c r="A752" s="61"/>
      <c r="B752" s="63" t="b">
        <v>0</v>
      </c>
      <c r="C752" s="64">
        <v>745.0</v>
      </c>
      <c r="D752" s="65">
        <v>45638.0</v>
      </c>
      <c r="E752" s="67" t="s">
        <v>650</v>
      </c>
      <c r="F752" s="67" t="s">
        <v>331</v>
      </c>
      <c r="G752" s="69">
        <f>SUMPRODUCT(('⚙️Pengaturan'!$C$3:$C$100=$F752)*('⚙️Pengaturan'!$D$3:$D$100))</f>
        <v>1400000</v>
      </c>
      <c r="H752" s="70" t="s">
        <v>63</v>
      </c>
      <c r="I752" s="69">
        <v>70000.0</v>
      </c>
      <c r="J752" s="69">
        <f t="shared" si="2"/>
        <v>1330000</v>
      </c>
      <c r="K752" s="71"/>
    </row>
    <row r="753" ht="17.25" customHeight="1">
      <c r="A753" s="61"/>
      <c r="B753" s="63" t="b">
        <v>0</v>
      </c>
      <c r="C753" s="64">
        <v>746.0</v>
      </c>
      <c r="D753" s="65">
        <v>45638.0</v>
      </c>
      <c r="E753" s="67" t="s">
        <v>651</v>
      </c>
      <c r="F753" s="67" t="s">
        <v>334</v>
      </c>
      <c r="G753" s="69">
        <f>SUMPRODUCT(('⚙️Pengaturan'!$C$3:$C$100=$F753)*('⚙️Pengaturan'!$D$3:$D$100))</f>
        <v>175000</v>
      </c>
      <c r="H753" s="70" t="s">
        <v>28</v>
      </c>
      <c r="I753" s="69">
        <v>70000.0</v>
      </c>
      <c r="J753" s="69">
        <f t="shared" si="2"/>
        <v>105000</v>
      </c>
      <c r="K753" s="71"/>
    </row>
    <row r="754" ht="17.25" customHeight="1">
      <c r="A754" s="61"/>
      <c r="B754" s="63" t="b">
        <v>0</v>
      </c>
      <c r="C754" s="64">
        <v>747.0</v>
      </c>
      <c r="D754" s="65">
        <v>45638.0</v>
      </c>
      <c r="E754" s="67" t="s">
        <v>652</v>
      </c>
      <c r="F754" s="67" t="s">
        <v>334</v>
      </c>
      <c r="G754" s="69">
        <f>SUMPRODUCT(('⚙️Pengaturan'!$C$3:$C$100=$F754)*('⚙️Pengaturan'!$D$3:$D$100))</f>
        <v>175000</v>
      </c>
      <c r="H754" s="70" t="s">
        <v>63</v>
      </c>
      <c r="I754" s="69">
        <v>70000.0</v>
      </c>
      <c r="J754" s="69">
        <f t="shared" si="2"/>
        <v>105000</v>
      </c>
      <c r="K754" s="71"/>
    </row>
    <row r="755" ht="17.25" customHeight="1">
      <c r="A755" s="61"/>
      <c r="B755" s="63" t="b">
        <v>0</v>
      </c>
      <c r="C755" s="64">
        <v>748.0</v>
      </c>
      <c r="D755" s="65">
        <v>45638.0</v>
      </c>
      <c r="E755" s="67" t="s">
        <v>653</v>
      </c>
      <c r="F755" s="67" t="s">
        <v>334</v>
      </c>
      <c r="G755" s="69">
        <f>SUMPRODUCT(('⚙️Pengaturan'!$C$3:$C$100=$F755)*('⚙️Pengaturan'!$D$3:$D$100))</f>
        <v>175000</v>
      </c>
      <c r="H755" s="70" t="s">
        <v>28</v>
      </c>
      <c r="I755" s="69">
        <v>70000.0</v>
      </c>
      <c r="J755" s="69">
        <f t="shared" si="2"/>
        <v>105000</v>
      </c>
      <c r="K755" s="71"/>
    </row>
    <row r="756" ht="17.25" customHeight="1">
      <c r="A756" s="61"/>
      <c r="B756" s="63" t="b">
        <v>0</v>
      </c>
      <c r="C756" s="64">
        <v>749.0</v>
      </c>
      <c r="D756" s="65">
        <v>45638.0</v>
      </c>
      <c r="E756" s="67" t="s">
        <v>646</v>
      </c>
      <c r="F756" s="67" t="s">
        <v>334</v>
      </c>
      <c r="G756" s="69">
        <f>SUMPRODUCT(('⚙️Pengaturan'!$C$3:$C$100=$F756)*('⚙️Pengaturan'!$D$3:$D$100))</f>
        <v>175000</v>
      </c>
      <c r="H756" s="70" t="s">
        <v>28</v>
      </c>
      <c r="I756" s="69">
        <v>70000.0</v>
      </c>
      <c r="J756" s="69">
        <f t="shared" si="2"/>
        <v>105000</v>
      </c>
      <c r="K756" s="71"/>
    </row>
    <row r="757" ht="17.25" customHeight="1">
      <c r="A757" s="61"/>
      <c r="B757" s="63" t="b">
        <v>0</v>
      </c>
      <c r="C757" s="64">
        <v>750.0</v>
      </c>
      <c r="D757" s="65">
        <v>45638.0</v>
      </c>
      <c r="E757" s="67" t="s">
        <v>573</v>
      </c>
      <c r="F757" s="67" t="s">
        <v>334</v>
      </c>
      <c r="G757" s="69">
        <f>SUMPRODUCT(('⚙️Pengaturan'!$C$3:$C$100=$F757)*('⚙️Pengaturan'!$D$3:$D$100))</f>
        <v>175000</v>
      </c>
      <c r="H757" s="70" t="s">
        <v>28</v>
      </c>
      <c r="I757" s="69">
        <v>70000.0</v>
      </c>
      <c r="J757" s="69">
        <f t="shared" si="2"/>
        <v>105000</v>
      </c>
      <c r="K757" s="71"/>
    </row>
    <row r="758" ht="17.25" customHeight="1">
      <c r="A758" s="61"/>
      <c r="B758" s="63" t="b">
        <v>0</v>
      </c>
      <c r="C758" s="64">
        <v>751.0</v>
      </c>
      <c r="D758" s="65">
        <v>45638.0</v>
      </c>
      <c r="E758" s="67" t="s">
        <v>654</v>
      </c>
      <c r="F758" s="67" t="s">
        <v>334</v>
      </c>
      <c r="G758" s="69">
        <f>SUMPRODUCT(('⚙️Pengaturan'!$C$3:$C$100=$F758)*('⚙️Pengaturan'!$D$3:$D$100))</f>
        <v>175000</v>
      </c>
      <c r="H758" s="70" t="s">
        <v>63</v>
      </c>
      <c r="I758" s="69">
        <v>70000.0</v>
      </c>
      <c r="J758" s="69">
        <f t="shared" si="2"/>
        <v>105000</v>
      </c>
      <c r="K758" s="230" t="s">
        <v>0</v>
      </c>
    </row>
    <row r="759" ht="17.25" customHeight="1">
      <c r="A759" s="61"/>
      <c r="B759" s="63" t="b">
        <v>0</v>
      </c>
      <c r="C759" s="64">
        <v>752.0</v>
      </c>
      <c r="D759" s="65">
        <v>45638.0</v>
      </c>
      <c r="E759" s="67" t="s">
        <v>564</v>
      </c>
      <c r="F759" s="67" t="s">
        <v>334</v>
      </c>
      <c r="G759" s="69">
        <f>SUMPRODUCT(('⚙️Pengaturan'!$C$3:$C$100=$F759)*('⚙️Pengaturan'!$D$3:$D$100))</f>
        <v>175000</v>
      </c>
      <c r="H759" s="70" t="s">
        <v>28</v>
      </c>
      <c r="I759" s="69">
        <v>70000.0</v>
      </c>
      <c r="J759" s="69">
        <f t="shared" si="2"/>
        <v>105000</v>
      </c>
      <c r="K759" s="71"/>
    </row>
    <row r="760" ht="17.25" customHeight="1">
      <c r="A760" s="205"/>
      <c r="B760" s="206" t="b">
        <v>0</v>
      </c>
      <c r="C760" s="207">
        <v>753.0</v>
      </c>
      <c r="D760" s="208">
        <v>45640.0</v>
      </c>
      <c r="E760" s="209" t="s">
        <v>619</v>
      </c>
      <c r="F760" s="209" t="s">
        <v>334</v>
      </c>
      <c r="G760" s="210">
        <f>SUMPRODUCT(('⚙️Pengaturan'!$C$3:$C$100=$F760)*('⚙️Pengaturan'!$D$3:$D$100))</f>
        <v>175000</v>
      </c>
      <c r="H760" s="211" t="s">
        <v>28</v>
      </c>
      <c r="I760" s="210">
        <v>70000.0</v>
      </c>
      <c r="J760" s="210">
        <f t="shared" si="2"/>
        <v>105000</v>
      </c>
      <c r="K760" s="212"/>
    </row>
    <row r="761" ht="17.25" customHeight="1">
      <c r="A761" s="61"/>
      <c r="B761" s="63" t="b">
        <v>0</v>
      </c>
      <c r="C761" s="64">
        <v>754.0</v>
      </c>
      <c r="D761" s="65">
        <v>45640.0</v>
      </c>
      <c r="E761" s="67" t="s">
        <v>655</v>
      </c>
      <c r="F761" s="67" t="s">
        <v>329</v>
      </c>
      <c r="G761" s="69">
        <f>SUMPRODUCT(('⚙️Pengaturan'!$C$3:$C$100=$F761)*('⚙️Pengaturan'!$D$3:$D$100))</f>
        <v>750000</v>
      </c>
      <c r="H761" s="70" t="s">
        <v>63</v>
      </c>
      <c r="I761" s="69">
        <v>70000.0</v>
      </c>
      <c r="J761" s="69">
        <f t="shared" si="2"/>
        <v>680000</v>
      </c>
      <c r="K761" s="71"/>
    </row>
    <row r="762" ht="17.25" customHeight="1">
      <c r="A762" s="61"/>
      <c r="B762" s="63" t="b">
        <v>0</v>
      </c>
      <c r="C762" s="64">
        <v>755.0</v>
      </c>
      <c r="D762" s="65">
        <v>45640.0</v>
      </c>
      <c r="E762" s="67" t="s">
        <v>656</v>
      </c>
      <c r="F762" s="67" t="s">
        <v>334</v>
      </c>
      <c r="G762" s="69">
        <f>SUMPRODUCT(('⚙️Pengaturan'!$C$3:$C$100=$F762)*('⚙️Pengaturan'!$D$3:$D$100))</f>
        <v>175000</v>
      </c>
      <c r="H762" s="70" t="s">
        <v>28</v>
      </c>
      <c r="I762" s="69">
        <v>70000.0</v>
      </c>
      <c r="J762" s="69">
        <f t="shared" si="2"/>
        <v>105000</v>
      </c>
      <c r="K762" s="71"/>
    </row>
    <row r="763" ht="17.25" customHeight="1">
      <c r="A763" s="61"/>
      <c r="B763" s="63" t="b">
        <v>0</v>
      </c>
      <c r="C763" s="64">
        <v>756.0</v>
      </c>
      <c r="D763" s="65">
        <v>45640.0</v>
      </c>
      <c r="E763" s="67" t="s">
        <v>657</v>
      </c>
      <c r="F763" s="67" t="s">
        <v>329</v>
      </c>
      <c r="G763" s="69">
        <f>SUMPRODUCT(('⚙️Pengaturan'!$C$3:$C$100=$F763)*('⚙️Pengaturan'!$D$3:$D$100))</f>
        <v>750000</v>
      </c>
      <c r="H763" s="70" t="s">
        <v>63</v>
      </c>
      <c r="I763" s="69">
        <v>70000.0</v>
      </c>
      <c r="J763" s="69">
        <f t="shared" si="2"/>
        <v>680000</v>
      </c>
      <c r="K763" s="71"/>
    </row>
    <row r="764" ht="17.25" customHeight="1">
      <c r="A764" s="205"/>
      <c r="B764" s="206" t="b">
        <v>0</v>
      </c>
      <c r="C764" s="207">
        <v>757.0</v>
      </c>
      <c r="D764" s="208">
        <v>45641.0</v>
      </c>
      <c r="E764" s="209" t="s">
        <v>658</v>
      </c>
      <c r="F764" s="209" t="s">
        <v>336</v>
      </c>
      <c r="G764" s="210">
        <f>SUMPRODUCT(('⚙️Pengaturan'!$C$3:$C$100=$F764)*('⚙️Pengaturan'!$D$3:$D$100))</f>
        <v>225000</v>
      </c>
      <c r="H764" s="211" t="s">
        <v>28</v>
      </c>
      <c r="I764" s="210"/>
      <c r="J764" s="210">
        <f t="shared" si="2"/>
        <v>225000</v>
      </c>
      <c r="K764" s="212"/>
    </row>
    <row r="765" ht="17.25" customHeight="1">
      <c r="A765" s="61"/>
      <c r="B765" s="63" t="b">
        <v>0</v>
      </c>
      <c r="C765" s="64">
        <v>758.0</v>
      </c>
      <c r="D765" s="65">
        <v>45641.0</v>
      </c>
      <c r="E765" s="67" t="s">
        <v>659</v>
      </c>
      <c r="F765" s="67" t="s">
        <v>331</v>
      </c>
      <c r="G765" s="69">
        <f>SUMPRODUCT(('⚙️Pengaturan'!$C$3:$C$100=$F765)*('⚙️Pengaturan'!$D$3:$D$100))</f>
        <v>1400000</v>
      </c>
      <c r="H765" s="70" t="s">
        <v>63</v>
      </c>
      <c r="I765" s="69">
        <v>70000.0</v>
      </c>
      <c r="J765" s="69">
        <f t="shared" si="2"/>
        <v>1330000</v>
      </c>
      <c r="K765" s="71"/>
    </row>
    <row r="766" ht="17.25" customHeight="1">
      <c r="A766" s="61"/>
      <c r="B766" s="63" t="b">
        <v>0</v>
      </c>
      <c r="C766" s="64">
        <v>759.0</v>
      </c>
      <c r="D766" s="65">
        <v>45641.0</v>
      </c>
      <c r="E766" s="67" t="s">
        <v>660</v>
      </c>
      <c r="F766" s="67" t="s">
        <v>334</v>
      </c>
      <c r="G766" s="69">
        <f>SUMPRODUCT(('⚙️Pengaturan'!$C$3:$C$100=$F766)*('⚙️Pengaturan'!$D$3:$D$100))</f>
        <v>175000</v>
      </c>
      <c r="H766" s="70" t="s">
        <v>28</v>
      </c>
      <c r="I766" s="69">
        <v>70000.0</v>
      </c>
      <c r="J766" s="69">
        <f t="shared" si="2"/>
        <v>105000</v>
      </c>
      <c r="K766" s="71"/>
    </row>
    <row r="767" ht="17.25" customHeight="1">
      <c r="A767" s="61"/>
      <c r="B767" s="63" t="b">
        <v>0</v>
      </c>
      <c r="C767" s="64">
        <v>760.0</v>
      </c>
      <c r="D767" s="65">
        <v>45641.0</v>
      </c>
      <c r="E767" s="67" t="s">
        <v>646</v>
      </c>
      <c r="F767" s="67" t="s">
        <v>334</v>
      </c>
      <c r="G767" s="69">
        <f>SUMPRODUCT(('⚙️Pengaturan'!$C$3:$C$100=$F767)*('⚙️Pengaturan'!$D$3:$D$100))</f>
        <v>175000</v>
      </c>
      <c r="H767" s="70" t="s">
        <v>28</v>
      </c>
      <c r="I767" s="69"/>
      <c r="J767" s="69">
        <f t="shared" si="2"/>
        <v>175000</v>
      </c>
      <c r="K767" s="71"/>
    </row>
    <row r="768" ht="17.25" customHeight="1">
      <c r="A768" s="61"/>
      <c r="B768" s="63" t="b">
        <v>0</v>
      </c>
      <c r="C768" s="64">
        <v>761.0</v>
      </c>
      <c r="D768" s="65">
        <v>45641.0</v>
      </c>
      <c r="E768" s="67" t="s">
        <v>661</v>
      </c>
      <c r="F768" s="67" t="s">
        <v>334</v>
      </c>
      <c r="G768" s="69">
        <f>SUMPRODUCT(('⚙️Pengaturan'!$C$3:$C$100=$F768)*('⚙️Pengaturan'!$D$3:$D$100))</f>
        <v>175000</v>
      </c>
      <c r="H768" s="70" t="s">
        <v>28</v>
      </c>
      <c r="I768" s="69">
        <v>70000.0</v>
      </c>
      <c r="J768" s="69">
        <f t="shared" si="2"/>
        <v>105000</v>
      </c>
      <c r="K768" s="71"/>
    </row>
    <row r="769" ht="17.25" customHeight="1">
      <c r="A769" s="205"/>
      <c r="B769" s="206" t="b">
        <v>0</v>
      </c>
      <c r="C769" s="207">
        <v>762.0</v>
      </c>
      <c r="D769" s="208">
        <v>45642.0</v>
      </c>
      <c r="E769" s="209" t="s">
        <v>492</v>
      </c>
      <c r="F769" s="209" t="s">
        <v>329</v>
      </c>
      <c r="G769" s="210">
        <f>SUMPRODUCT(('⚙️Pengaturan'!$C$3:$C$100=$F769)*('⚙️Pengaturan'!$D$3:$D$100))</f>
        <v>750000</v>
      </c>
      <c r="H769" s="211" t="s">
        <v>63</v>
      </c>
      <c r="I769" s="210"/>
      <c r="J769" s="210">
        <f t="shared" si="2"/>
        <v>750000</v>
      </c>
      <c r="K769" s="212"/>
    </row>
    <row r="770" ht="17.25" customHeight="1">
      <c r="A770" s="61"/>
      <c r="B770" s="63" t="b">
        <v>0</v>
      </c>
      <c r="C770" s="64">
        <v>763.0</v>
      </c>
      <c r="D770" s="65">
        <v>45642.0</v>
      </c>
      <c r="E770" s="67" t="s">
        <v>662</v>
      </c>
      <c r="F770" s="67" t="s">
        <v>336</v>
      </c>
      <c r="G770" s="69">
        <f>SUMPRODUCT(('⚙️Pengaturan'!$C$3:$C$100=$F770)*('⚙️Pengaturan'!$D$3:$D$100))</f>
        <v>225000</v>
      </c>
      <c r="H770" s="70" t="s">
        <v>63</v>
      </c>
      <c r="I770" s="69"/>
      <c r="J770" s="69">
        <f t="shared" si="2"/>
        <v>225000</v>
      </c>
      <c r="K770" s="71"/>
    </row>
    <row r="771" ht="17.25" customHeight="1">
      <c r="A771" s="205"/>
      <c r="B771" s="206" t="b">
        <v>0</v>
      </c>
      <c r="C771" s="207">
        <v>764.0</v>
      </c>
      <c r="D771" s="208">
        <v>45643.0</v>
      </c>
      <c r="E771" s="209" t="s">
        <v>663</v>
      </c>
      <c r="F771" s="209" t="s">
        <v>334</v>
      </c>
      <c r="G771" s="210">
        <f>SUMPRODUCT(('⚙️Pengaturan'!$C$3:$C$100=$F771)*('⚙️Pengaturan'!$D$3:$D$100))</f>
        <v>175000</v>
      </c>
      <c r="H771" s="211" t="s">
        <v>28</v>
      </c>
      <c r="I771" s="210"/>
      <c r="J771" s="210">
        <f t="shared" si="2"/>
        <v>175000</v>
      </c>
      <c r="K771" s="212"/>
    </row>
    <row r="772" ht="17.25" customHeight="1">
      <c r="A772" s="205"/>
      <c r="B772" s="206" t="b">
        <v>0</v>
      </c>
      <c r="C772" s="207">
        <v>765.0</v>
      </c>
      <c r="D772" s="208">
        <v>45644.0</v>
      </c>
      <c r="E772" s="209" t="s">
        <v>664</v>
      </c>
      <c r="F772" s="209" t="s">
        <v>334</v>
      </c>
      <c r="G772" s="210">
        <f>SUMPRODUCT(('⚙️Pengaturan'!$C$3:$C$100=$F772)*('⚙️Pengaturan'!$D$3:$D$100))</f>
        <v>175000</v>
      </c>
      <c r="H772" s="211" t="s">
        <v>28</v>
      </c>
      <c r="I772" s="210"/>
      <c r="J772" s="210">
        <f t="shared" si="2"/>
        <v>175000</v>
      </c>
      <c r="K772" s="212"/>
    </row>
    <row r="773" ht="17.25" customHeight="1">
      <c r="A773" s="61"/>
      <c r="B773" s="63" t="b">
        <v>0</v>
      </c>
      <c r="C773" s="64">
        <v>766.0</v>
      </c>
      <c r="D773" s="65">
        <v>45644.0</v>
      </c>
      <c r="E773" s="67" t="s">
        <v>649</v>
      </c>
      <c r="F773" s="67" t="s">
        <v>336</v>
      </c>
      <c r="G773" s="69">
        <f>SUMPRODUCT(('⚙️Pengaturan'!$C$3:$C$100=$F773)*('⚙️Pengaturan'!$D$3:$D$100))</f>
        <v>225000</v>
      </c>
      <c r="H773" s="70" t="s">
        <v>28</v>
      </c>
      <c r="I773" s="69"/>
      <c r="J773" s="69">
        <f t="shared" si="2"/>
        <v>225000</v>
      </c>
      <c r="K773" s="71"/>
    </row>
    <row r="774" ht="17.25" customHeight="1">
      <c r="A774" s="61"/>
      <c r="B774" s="63" t="b">
        <v>0</v>
      </c>
      <c r="C774" s="64">
        <v>767.0</v>
      </c>
      <c r="D774" s="65">
        <v>45644.0</v>
      </c>
      <c r="E774" s="67" t="s">
        <v>665</v>
      </c>
      <c r="F774" s="67" t="s">
        <v>334</v>
      </c>
      <c r="G774" s="69">
        <f>SUMPRODUCT(('⚙️Pengaturan'!$C$3:$C$100=$F774)*('⚙️Pengaturan'!$D$3:$D$100))</f>
        <v>175000</v>
      </c>
      <c r="H774" s="70" t="s">
        <v>28</v>
      </c>
      <c r="I774" s="69"/>
      <c r="J774" s="69">
        <f t="shared" si="2"/>
        <v>175000</v>
      </c>
      <c r="K774" s="71"/>
    </row>
    <row r="775" ht="17.25" customHeight="1">
      <c r="A775" s="61"/>
      <c r="B775" s="63" t="b">
        <v>0</v>
      </c>
      <c r="C775" s="64">
        <v>768.0</v>
      </c>
      <c r="D775" s="65">
        <v>45644.0</v>
      </c>
      <c r="E775" s="67" t="s">
        <v>666</v>
      </c>
      <c r="F775" s="67" t="s">
        <v>334</v>
      </c>
      <c r="G775" s="69">
        <f>SUMPRODUCT(('⚙️Pengaturan'!$C$3:$C$100=$F775)*('⚙️Pengaturan'!$D$3:$D$100))</f>
        <v>175000</v>
      </c>
      <c r="H775" s="70" t="s">
        <v>28</v>
      </c>
      <c r="I775" s="69"/>
      <c r="J775" s="69">
        <f t="shared" si="2"/>
        <v>175000</v>
      </c>
      <c r="K775" s="71"/>
    </row>
    <row r="776" ht="17.25" customHeight="1">
      <c r="A776" s="61"/>
      <c r="B776" s="63" t="b">
        <v>0</v>
      </c>
      <c r="C776" s="64">
        <v>769.0</v>
      </c>
      <c r="D776" s="65">
        <v>45644.0</v>
      </c>
      <c r="E776" s="67" t="s">
        <v>667</v>
      </c>
      <c r="F776" s="67" t="s">
        <v>334</v>
      </c>
      <c r="G776" s="69">
        <f>SUMPRODUCT(('⚙️Pengaturan'!$C$3:$C$100=$F776)*('⚙️Pengaturan'!$D$3:$D$100))</f>
        <v>175000</v>
      </c>
      <c r="H776" s="70" t="s">
        <v>28</v>
      </c>
      <c r="I776" s="69"/>
      <c r="J776" s="69">
        <f t="shared" si="2"/>
        <v>175000</v>
      </c>
      <c r="K776" s="71"/>
    </row>
    <row r="777" ht="17.25" customHeight="1">
      <c r="A777" s="205"/>
      <c r="B777" s="206" t="b">
        <v>0</v>
      </c>
      <c r="C777" s="207">
        <v>770.0</v>
      </c>
      <c r="D777" s="208">
        <v>45645.0</v>
      </c>
      <c r="E777" s="209" t="s">
        <v>416</v>
      </c>
      <c r="F777" s="209" t="s">
        <v>44</v>
      </c>
      <c r="G777" s="210">
        <f>SUMPRODUCT(('⚙️Pengaturan'!$C$3:$C$100=$F777)*('⚙️Pengaturan'!$D$3:$D$100))</f>
        <v>150000</v>
      </c>
      <c r="H777" s="211" t="s">
        <v>28</v>
      </c>
      <c r="I777" s="210"/>
      <c r="J777" s="210">
        <f t="shared" si="2"/>
        <v>150000</v>
      </c>
      <c r="K777" s="212"/>
    </row>
    <row r="778" ht="17.25" customHeight="1">
      <c r="A778" s="61"/>
      <c r="B778" s="63" t="b">
        <v>0</v>
      </c>
      <c r="C778" s="64">
        <v>771.0</v>
      </c>
      <c r="D778" s="65">
        <v>45645.0</v>
      </c>
      <c r="E778" s="67" t="s">
        <v>663</v>
      </c>
      <c r="F778" s="67" t="s">
        <v>334</v>
      </c>
      <c r="G778" s="69">
        <f>SUMPRODUCT(('⚙️Pengaturan'!$C$3:$C$100=$F778)*('⚙️Pengaturan'!$D$3:$D$100))</f>
        <v>175000</v>
      </c>
      <c r="H778" s="70" t="s">
        <v>28</v>
      </c>
      <c r="I778" s="69"/>
      <c r="J778" s="69">
        <f t="shared" si="2"/>
        <v>175000</v>
      </c>
      <c r="K778" s="71"/>
    </row>
    <row r="779" ht="17.25" customHeight="1">
      <c r="A779" s="61"/>
      <c r="B779" s="63" t="b">
        <v>0</v>
      </c>
      <c r="C779" s="64">
        <v>772.0</v>
      </c>
      <c r="D779" s="65">
        <v>45645.0</v>
      </c>
      <c r="E779" s="67" t="s">
        <v>668</v>
      </c>
      <c r="F779" s="67" t="s">
        <v>329</v>
      </c>
      <c r="G779" s="69">
        <f>SUMPRODUCT(('⚙️Pengaturan'!$C$3:$C$100=$F779)*('⚙️Pengaturan'!$D$3:$D$100))</f>
        <v>750000</v>
      </c>
      <c r="H779" s="70" t="s">
        <v>63</v>
      </c>
      <c r="I779" s="69"/>
      <c r="J779" s="69">
        <f t="shared" si="2"/>
        <v>750000</v>
      </c>
      <c r="K779" s="71"/>
    </row>
    <row r="780" ht="17.25" customHeight="1">
      <c r="A780" s="205"/>
      <c r="B780" s="206" t="b">
        <v>0</v>
      </c>
      <c r="C780" s="207">
        <v>773.0</v>
      </c>
      <c r="D780" s="231">
        <v>45647.0</v>
      </c>
      <c r="E780" s="209" t="s">
        <v>669</v>
      </c>
      <c r="F780" s="209" t="s">
        <v>329</v>
      </c>
      <c r="G780" s="210">
        <f>SUMPRODUCT(('⚙️Pengaturan'!$C$3:$C$100=$F780)*('⚙️Pengaturan'!$D$3:$D$100))</f>
        <v>750000</v>
      </c>
      <c r="H780" s="211" t="s">
        <v>28</v>
      </c>
      <c r="I780" s="210">
        <v>550000.0</v>
      </c>
      <c r="J780" s="210">
        <f t="shared" si="2"/>
        <v>200000</v>
      </c>
      <c r="K780" s="212"/>
    </row>
    <row r="781" ht="17.25" customHeight="1">
      <c r="A781" s="61"/>
      <c r="B781" s="63" t="b">
        <v>0</v>
      </c>
      <c r="C781" s="64">
        <v>774.0</v>
      </c>
      <c r="D781" s="232">
        <v>45647.0</v>
      </c>
      <c r="E781" s="67" t="s">
        <v>670</v>
      </c>
      <c r="F781" s="67" t="s">
        <v>334</v>
      </c>
      <c r="G781" s="69">
        <f>SUMPRODUCT(('⚙️Pengaturan'!$C$3:$C$100=$F781)*('⚙️Pengaturan'!$D$3:$D$100))</f>
        <v>175000</v>
      </c>
      <c r="H781" s="70" t="s">
        <v>28</v>
      </c>
      <c r="I781" s="69"/>
      <c r="J781" s="69">
        <f t="shared" si="2"/>
        <v>175000</v>
      </c>
      <c r="K781" s="71"/>
    </row>
    <row r="782" ht="17.25" customHeight="1">
      <c r="A782" s="61"/>
      <c r="B782" s="63" t="b">
        <v>0</v>
      </c>
      <c r="C782" s="64">
        <v>775.0</v>
      </c>
      <c r="D782" s="232">
        <v>45647.0</v>
      </c>
      <c r="E782" s="67" t="s">
        <v>671</v>
      </c>
      <c r="F782" s="67" t="s">
        <v>336</v>
      </c>
      <c r="G782" s="69">
        <f>SUMPRODUCT(('⚙️Pengaturan'!$C$3:$C$100=$F782)*('⚙️Pengaturan'!$D$3:$D$100))</f>
        <v>225000</v>
      </c>
      <c r="H782" s="70" t="s">
        <v>63</v>
      </c>
      <c r="I782" s="69"/>
      <c r="J782" s="69">
        <f t="shared" si="2"/>
        <v>225000</v>
      </c>
      <c r="K782" s="71"/>
    </row>
    <row r="783" ht="17.25" customHeight="1">
      <c r="A783" s="205"/>
      <c r="B783" s="206" t="b">
        <v>0</v>
      </c>
      <c r="C783" s="207">
        <v>776.0</v>
      </c>
      <c r="D783" s="231">
        <v>45648.0</v>
      </c>
      <c r="E783" s="209" t="s">
        <v>672</v>
      </c>
      <c r="F783" s="209" t="s">
        <v>334</v>
      </c>
      <c r="G783" s="210">
        <f>SUMPRODUCT(('⚙️Pengaturan'!$C$3:$C$100=$F783)*('⚙️Pengaturan'!$D$3:$D$100))</f>
        <v>175000</v>
      </c>
      <c r="H783" s="211" t="s">
        <v>28</v>
      </c>
      <c r="I783" s="210"/>
      <c r="J783" s="210">
        <f t="shared" si="2"/>
        <v>175000</v>
      </c>
      <c r="K783" s="212"/>
    </row>
    <row r="784" ht="17.25" customHeight="1">
      <c r="A784" s="61"/>
      <c r="B784" s="63" t="b">
        <v>0</v>
      </c>
      <c r="C784" s="64">
        <v>777.0</v>
      </c>
      <c r="D784" s="232">
        <v>45648.0</v>
      </c>
      <c r="E784" s="67" t="s">
        <v>673</v>
      </c>
      <c r="F784" s="67" t="s">
        <v>329</v>
      </c>
      <c r="G784" s="69">
        <f>SUMPRODUCT(('⚙️Pengaturan'!$C$3:$C$100=$F784)*('⚙️Pengaturan'!$D$3:$D$100))</f>
        <v>750000</v>
      </c>
      <c r="H784" s="70" t="s">
        <v>28</v>
      </c>
      <c r="I784" s="69"/>
      <c r="J784" s="69">
        <f t="shared" si="2"/>
        <v>750000</v>
      </c>
      <c r="K784" s="71"/>
    </row>
    <row r="785" ht="17.25" customHeight="1">
      <c r="A785" s="205"/>
      <c r="B785" s="206" t="b">
        <v>0</v>
      </c>
      <c r="C785" s="207">
        <v>778.0</v>
      </c>
      <c r="D785" s="231">
        <v>45649.0</v>
      </c>
      <c r="E785" s="209" t="s">
        <v>674</v>
      </c>
      <c r="F785" s="209" t="s">
        <v>334</v>
      </c>
      <c r="G785" s="210">
        <f>SUMPRODUCT(('⚙️Pengaturan'!$C$3:$C$100=$F785)*('⚙️Pengaturan'!$D$3:$D$100))</f>
        <v>175000</v>
      </c>
      <c r="H785" s="211" t="s">
        <v>28</v>
      </c>
      <c r="I785" s="210"/>
      <c r="J785" s="210">
        <f t="shared" si="2"/>
        <v>175000</v>
      </c>
      <c r="K785" s="212"/>
    </row>
    <row r="786" ht="17.25" customHeight="1">
      <c r="A786" s="215"/>
      <c r="B786" s="216" t="b">
        <v>0</v>
      </c>
      <c r="C786" s="217">
        <v>779.0</v>
      </c>
      <c r="D786" s="233">
        <v>45649.0</v>
      </c>
      <c r="E786" s="214" t="s">
        <v>675</v>
      </c>
      <c r="F786" s="214" t="s">
        <v>334</v>
      </c>
      <c r="G786" s="219">
        <f>SUMPRODUCT(('⚙️Pengaturan'!$C$3:$C$100=$F786)*('⚙️Pengaturan'!$D$3:$D$100))</f>
        <v>175000</v>
      </c>
      <c r="H786" s="220" t="s">
        <v>28</v>
      </c>
      <c r="I786" s="219"/>
      <c r="J786" s="219">
        <f t="shared" si="2"/>
        <v>175000</v>
      </c>
      <c r="K786" s="221"/>
    </row>
    <row r="787" ht="17.25" customHeight="1">
      <c r="A787" s="205"/>
      <c r="B787" s="206" t="b">
        <v>0</v>
      </c>
      <c r="C787" s="207">
        <v>780.0</v>
      </c>
      <c r="D787" s="208">
        <v>45650.0</v>
      </c>
      <c r="E787" s="209" t="s">
        <v>663</v>
      </c>
      <c r="F787" s="209" t="s">
        <v>334</v>
      </c>
      <c r="G787" s="210">
        <f>SUMPRODUCT(('⚙️Pengaturan'!$C$3:$C$100=$F787)*('⚙️Pengaturan'!$D$3:$D$100))</f>
        <v>175000</v>
      </c>
      <c r="H787" s="211" t="s">
        <v>28</v>
      </c>
      <c r="I787" s="210"/>
      <c r="J787" s="210">
        <f t="shared" si="2"/>
        <v>175000</v>
      </c>
      <c r="K787" s="212"/>
    </row>
    <row r="788" ht="17.25" customHeight="1">
      <c r="A788" s="61"/>
      <c r="B788" s="63" t="b">
        <v>0</v>
      </c>
      <c r="C788" s="64">
        <v>781.0</v>
      </c>
      <c r="D788" s="65">
        <v>45650.0</v>
      </c>
      <c r="E788" s="67" t="s">
        <v>669</v>
      </c>
      <c r="F788" s="67" t="s">
        <v>329</v>
      </c>
      <c r="G788" s="69">
        <f>SUMPRODUCT(('⚙️Pengaturan'!$C$3:$C$100=$F788)*('⚙️Pengaturan'!$D$3:$D$100))</f>
        <v>750000</v>
      </c>
      <c r="H788" s="70" t="s">
        <v>28</v>
      </c>
      <c r="I788" s="69">
        <v>200000.0</v>
      </c>
      <c r="J788" s="69">
        <f t="shared" si="2"/>
        <v>550000</v>
      </c>
      <c r="K788" s="71"/>
    </row>
    <row r="789" ht="17.25" customHeight="1">
      <c r="A789" s="61"/>
      <c r="B789" s="63" t="b">
        <v>0</v>
      </c>
      <c r="C789" s="64">
        <v>782.0</v>
      </c>
      <c r="D789" s="65">
        <v>45650.0</v>
      </c>
      <c r="E789" s="67" t="s">
        <v>676</v>
      </c>
      <c r="F789" s="67" t="s">
        <v>334</v>
      </c>
      <c r="G789" s="69">
        <f>SUMPRODUCT(('⚙️Pengaturan'!$C$3:$C$100=$F789)*('⚙️Pengaturan'!$D$3:$D$100))</f>
        <v>175000</v>
      </c>
      <c r="H789" s="70" t="s">
        <v>28</v>
      </c>
      <c r="I789" s="69"/>
      <c r="J789" s="69">
        <f t="shared" si="2"/>
        <v>175000</v>
      </c>
      <c r="K789" s="71"/>
    </row>
    <row r="790" ht="17.25" customHeight="1">
      <c r="A790" s="61"/>
      <c r="B790" s="63" t="b">
        <v>0</v>
      </c>
      <c r="C790" s="64">
        <v>783.0</v>
      </c>
      <c r="D790" s="65">
        <v>45650.0</v>
      </c>
      <c r="E790" s="67" t="s">
        <v>676</v>
      </c>
      <c r="F790" s="67" t="s">
        <v>338</v>
      </c>
      <c r="G790" s="69">
        <f>SUMPRODUCT(('⚙️Pengaturan'!$C$3:$C$100=$F790)*('⚙️Pengaturan'!$D$3:$D$100))</f>
        <v>2000000</v>
      </c>
      <c r="H790" s="70" t="s">
        <v>28</v>
      </c>
      <c r="I790" s="69"/>
      <c r="J790" s="69">
        <f t="shared" si="2"/>
        <v>2000000</v>
      </c>
      <c r="K790" s="71"/>
    </row>
    <row r="791" ht="17.25" customHeight="1">
      <c r="A791" s="205"/>
      <c r="B791" s="206" t="b">
        <v>0</v>
      </c>
      <c r="C791" s="207">
        <v>784.0</v>
      </c>
      <c r="D791" s="208">
        <v>45652.0</v>
      </c>
      <c r="E791" s="209" t="s">
        <v>677</v>
      </c>
      <c r="F791" s="209" t="s">
        <v>329</v>
      </c>
      <c r="G791" s="210">
        <f>SUMPRODUCT(('⚙️Pengaturan'!$C$3:$C$100=$F791)*('⚙️Pengaturan'!$D$3:$D$100))</f>
        <v>750000</v>
      </c>
      <c r="H791" s="211" t="s">
        <v>28</v>
      </c>
      <c r="I791" s="210"/>
      <c r="J791" s="210">
        <f t="shared" si="2"/>
        <v>750000</v>
      </c>
      <c r="K791" s="212"/>
    </row>
    <row r="792" ht="17.25" customHeight="1">
      <c r="A792" s="61"/>
      <c r="B792" s="63" t="b">
        <v>0</v>
      </c>
      <c r="C792" s="64">
        <v>785.0</v>
      </c>
      <c r="D792" s="65">
        <v>45652.0</v>
      </c>
      <c r="E792" s="67" t="s">
        <v>678</v>
      </c>
      <c r="F792" s="67" t="s">
        <v>334</v>
      </c>
      <c r="G792" s="69">
        <f>SUMPRODUCT(('⚙️Pengaturan'!$C$3:$C$100=$F792)*('⚙️Pengaturan'!$D$3:$D$100))</f>
        <v>175000</v>
      </c>
      <c r="H792" s="70" t="s">
        <v>28</v>
      </c>
      <c r="I792" s="69"/>
      <c r="J792" s="69">
        <f t="shared" si="2"/>
        <v>175000</v>
      </c>
      <c r="K792" s="71"/>
    </row>
    <row r="793" ht="17.25" customHeight="1">
      <c r="A793" s="205"/>
      <c r="B793" s="206" t="b">
        <v>0</v>
      </c>
      <c r="C793" s="207">
        <v>786.0</v>
      </c>
      <c r="D793" s="208">
        <v>45653.0</v>
      </c>
      <c r="E793" s="209" t="s">
        <v>642</v>
      </c>
      <c r="F793" s="209" t="s">
        <v>329</v>
      </c>
      <c r="G793" s="210">
        <f>SUMPRODUCT(('⚙️Pengaturan'!$C$3:$C$100=$F793)*('⚙️Pengaturan'!$D$3:$D$100))</f>
        <v>750000</v>
      </c>
      <c r="H793" s="211" t="s">
        <v>28</v>
      </c>
      <c r="I793" s="210">
        <v>300000.0</v>
      </c>
      <c r="J793" s="210">
        <f t="shared" si="2"/>
        <v>450000</v>
      </c>
      <c r="K793" s="212"/>
    </row>
    <row r="794" ht="17.25" customHeight="1">
      <c r="A794" s="61"/>
      <c r="B794" s="63" t="b">
        <v>0</v>
      </c>
      <c r="C794" s="64">
        <v>787.0</v>
      </c>
      <c r="D794" s="65">
        <v>45653.0</v>
      </c>
      <c r="E794" s="67" t="s">
        <v>679</v>
      </c>
      <c r="F794" s="67" t="s">
        <v>334</v>
      </c>
      <c r="G794" s="69">
        <f>SUMPRODUCT(('⚙️Pengaturan'!$C$3:$C$100=$F794)*('⚙️Pengaturan'!$D$3:$D$100))</f>
        <v>175000</v>
      </c>
      <c r="H794" s="70" t="s">
        <v>63</v>
      </c>
      <c r="I794" s="69"/>
      <c r="J794" s="69">
        <f t="shared" si="2"/>
        <v>175000</v>
      </c>
      <c r="K794" s="71"/>
    </row>
    <row r="795" ht="17.25" customHeight="1">
      <c r="A795" s="61"/>
      <c r="B795" s="63" t="b">
        <v>0</v>
      </c>
      <c r="C795" s="64">
        <v>788.0</v>
      </c>
      <c r="D795" s="65">
        <v>45653.0</v>
      </c>
      <c r="E795" s="67" t="s">
        <v>680</v>
      </c>
      <c r="F795" s="67" t="s">
        <v>334</v>
      </c>
      <c r="G795" s="69">
        <f>SUMPRODUCT(('⚙️Pengaturan'!$C$3:$C$100=$F795)*('⚙️Pengaturan'!$D$3:$D$100))</f>
        <v>175000</v>
      </c>
      <c r="H795" s="70" t="s">
        <v>28</v>
      </c>
      <c r="I795" s="69"/>
      <c r="J795" s="69">
        <f t="shared" si="2"/>
        <v>175000</v>
      </c>
      <c r="K795" s="71"/>
    </row>
    <row r="796" ht="17.25" customHeight="1">
      <c r="A796" s="234"/>
      <c r="B796" s="235" t="b">
        <v>0</v>
      </c>
      <c r="C796" s="236">
        <v>789.0</v>
      </c>
      <c r="D796" s="237">
        <v>45661.0</v>
      </c>
      <c r="E796" s="238" t="s">
        <v>681</v>
      </c>
      <c r="F796" s="238" t="s">
        <v>334</v>
      </c>
      <c r="G796" s="239">
        <f>SUMPRODUCT(('⚙️Pengaturan'!$C$3:$C$100=$F796)*('⚙️Pengaturan'!$D$3:$D$100))</f>
        <v>175000</v>
      </c>
      <c r="H796" s="240" t="s">
        <v>63</v>
      </c>
      <c r="I796" s="239"/>
      <c r="J796" s="239">
        <f t="shared" si="2"/>
        <v>175000</v>
      </c>
      <c r="K796" s="241"/>
    </row>
    <row r="797" ht="17.25" customHeight="1">
      <c r="A797" s="61"/>
      <c r="B797" s="63" t="b">
        <v>0</v>
      </c>
      <c r="C797" s="64">
        <v>790.0</v>
      </c>
      <c r="D797" s="65">
        <v>45661.0</v>
      </c>
      <c r="E797" s="67" t="s">
        <v>682</v>
      </c>
      <c r="F797" s="67" t="s">
        <v>332</v>
      </c>
      <c r="G797" s="69">
        <f>SUMPRODUCT(('⚙️Pengaturan'!$C$3:$C$100=$F797)*('⚙️Pengaturan'!$D$3:$D$100))</f>
        <v>1300000</v>
      </c>
      <c r="H797" s="70" t="s">
        <v>28</v>
      </c>
      <c r="I797" s="69">
        <v>1000000.0</v>
      </c>
      <c r="J797" s="69">
        <f t="shared" si="2"/>
        <v>300000</v>
      </c>
      <c r="K797" s="71"/>
    </row>
    <row r="798" ht="17.25" customHeight="1">
      <c r="A798" s="61"/>
      <c r="B798" s="63" t="b">
        <v>0</v>
      </c>
      <c r="C798" s="64">
        <v>791.0</v>
      </c>
      <c r="D798" s="65">
        <v>45661.0</v>
      </c>
      <c r="E798" s="67" t="s">
        <v>649</v>
      </c>
      <c r="F798" s="67" t="s">
        <v>336</v>
      </c>
      <c r="G798" s="69">
        <f>SUMPRODUCT(('⚙️Pengaturan'!$C$3:$C$100=$F798)*('⚙️Pengaturan'!$D$3:$D$100))</f>
        <v>225000</v>
      </c>
      <c r="H798" s="70" t="s">
        <v>28</v>
      </c>
      <c r="I798" s="69"/>
      <c r="J798" s="69">
        <f t="shared" si="2"/>
        <v>225000</v>
      </c>
      <c r="K798" s="71"/>
    </row>
    <row r="799" ht="17.25" customHeight="1">
      <c r="A799" s="234"/>
      <c r="B799" s="235" t="b">
        <v>0</v>
      </c>
      <c r="C799" s="236">
        <v>792.0</v>
      </c>
      <c r="D799" s="237">
        <v>45662.0</v>
      </c>
      <c r="E799" s="238" t="s">
        <v>683</v>
      </c>
      <c r="F799" s="238" t="s">
        <v>334</v>
      </c>
      <c r="G799" s="239">
        <f>SUMPRODUCT(('⚙️Pengaturan'!$C$3:$C$100=$F799)*('⚙️Pengaturan'!$D$3:$D$100))</f>
        <v>175000</v>
      </c>
      <c r="H799" s="240" t="s">
        <v>63</v>
      </c>
      <c r="I799" s="239"/>
      <c r="J799" s="239">
        <f t="shared" si="2"/>
        <v>175000</v>
      </c>
      <c r="K799" s="241"/>
    </row>
    <row r="800" ht="17.25" customHeight="1">
      <c r="A800" s="234"/>
      <c r="B800" s="235" t="b">
        <v>0</v>
      </c>
      <c r="C800" s="236">
        <v>793.0</v>
      </c>
      <c r="D800" s="237">
        <v>45663.0</v>
      </c>
      <c r="E800" s="238" t="s">
        <v>684</v>
      </c>
      <c r="F800" s="238" t="s">
        <v>336</v>
      </c>
      <c r="G800" s="239">
        <f>SUMPRODUCT(('⚙️Pengaturan'!$C$3:$C$100=$F800)*('⚙️Pengaturan'!$D$3:$D$100))</f>
        <v>225000</v>
      </c>
      <c r="H800" s="240" t="s">
        <v>28</v>
      </c>
      <c r="I800" s="239"/>
      <c r="J800" s="239">
        <f t="shared" si="2"/>
        <v>225000</v>
      </c>
      <c r="K800" s="241"/>
    </row>
    <row r="801" ht="17.25" customHeight="1">
      <c r="A801" s="61"/>
      <c r="B801" s="63" t="b">
        <v>0</v>
      </c>
      <c r="C801" s="64">
        <v>794.0</v>
      </c>
      <c r="D801" s="65">
        <v>45663.0</v>
      </c>
      <c r="E801" s="67" t="s">
        <v>685</v>
      </c>
      <c r="F801" s="67" t="s">
        <v>329</v>
      </c>
      <c r="G801" s="69">
        <f>SUMPRODUCT(('⚙️Pengaturan'!$C$3:$C$100=$F801)*('⚙️Pengaturan'!$D$3:$D$100))</f>
        <v>750000</v>
      </c>
      <c r="H801" s="70" t="s">
        <v>28</v>
      </c>
      <c r="I801" s="69"/>
      <c r="J801" s="69">
        <f t="shared" si="2"/>
        <v>750000</v>
      </c>
      <c r="K801" s="71"/>
    </row>
    <row r="802" ht="17.25" customHeight="1">
      <c r="A802" s="234"/>
      <c r="B802" s="235" t="b">
        <v>0</v>
      </c>
      <c r="C802" s="236">
        <v>795.0</v>
      </c>
      <c r="D802" s="237">
        <v>45664.0</v>
      </c>
      <c r="E802" s="238" t="s">
        <v>538</v>
      </c>
      <c r="F802" s="238" t="s">
        <v>331</v>
      </c>
      <c r="G802" s="239">
        <f>SUMPRODUCT(('⚙️Pengaturan'!$C$3:$C$100=$F802)*('⚙️Pengaturan'!$D$3:$D$100))</f>
        <v>1400000</v>
      </c>
      <c r="H802" s="240" t="s">
        <v>63</v>
      </c>
      <c r="I802" s="239"/>
      <c r="J802" s="239">
        <f t="shared" si="2"/>
        <v>1400000</v>
      </c>
      <c r="K802" s="241"/>
    </row>
    <row r="803" ht="17.25" customHeight="1">
      <c r="A803" s="61"/>
      <c r="B803" s="63" t="b">
        <v>0</v>
      </c>
      <c r="C803" s="64">
        <v>796.0</v>
      </c>
      <c r="D803" s="65">
        <v>45664.0</v>
      </c>
      <c r="E803" s="67" t="s">
        <v>686</v>
      </c>
      <c r="F803" s="67" t="s">
        <v>334</v>
      </c>
      <c r="G803" s="69">
        <f>SUMPRODUCT(('⚙️Pengaturan'!$C$3:$C$100=$F803)*('⚙️Pengaturan'!$D$3:$D$100))</f>
        <v>175000</v>
      </c>
      <c r="H803" s="70" t="s">
        <v>63</v>
      </c>
      <c r="I803" s="69"/>
      <c r="J803" s="69">
        <f t="shared" si="2"/>
        <v>175000</v>
      </c>
      <c r="K803" s="71"/>
    </row>
    <row r="804" ht="17.25" customHeight="1">
      <c r="A804" s="61"/>
      <c r="B804" s="63" t="b">
        <v>0</v>
      </c>
      <c r="C804" s="64">
        <v>797.0</v>
      </c>
      <c r="D804" s="65">
        <v>45664.0</v>
      </c>
      <c r="E804" s="67" t="s">
        <v>687</v>
      </c>
      <c r="F804" s="67" t="s">
        <v>334</v>
      </c>
      <c r="G804" s="69">
        <f>SUMPRODUCT(('⚙️Pengaturan'!$C$3:$C$100=$F804)*('⚙️Pengaturan'!$D$3:$D$100))</f>
        <v>175000</v>
      </c>
      <c r="H804" s="70" t="s">
        <v>28</v>
      </c>
      <c r="I804" s="69"/>
      <c r="J804" s="69">
        <f t="shared" si="2"/>
        <v>175000</v>
      </c>
      <c r="K804" s="71"/>
    </row>
    <row r="805" ht="17.25" customHeight="1">
      <c r="A805" s="61"/>
      <c r="B805" s="63" t="b">
        <v>0</v>
      </c>
      <c r="C805" s="64">
        <v>798.0</v>
      </c>
      <c r="D805" s="65">
        <v>45664.0</v>
      </c>
      <c r="E805" s="67" t="s">
        <v>682</v>
      </c>
      <c r="F805" s="67" t="s">
        <v>332</v>
      </c>
      <c r="G805" s="69">
        <f>SUMPRODUCT(('⚙️Pengaturan'!$C$3:$C$100=$F805)*('⚙️Pengaturan'!$D$3:$D$100))</f>
        <v>1300000</v>
      </c>
      <c r="H805" s="70" t="s">
        <v>63</v>
      </c>
      <c r="I805" s="69">
        <v>300000.0</v>
      </c>
      <c r="J805" s="69">
        <f t="shared" si="2"/>
        <v>1000000</v>
      </c>
      <c r="K805" s="71"/>
    </row>
    <row r="806" ht="17.25" customHeight="1">
      <c r="A806" s="61"/>
      <c r="B806" s="63" t="b">
        <v>0</v>
      </c>
      <c r="C806" s="64">
        <v>799.0</v>
      </c>
      <c r="D806" s="65">
        <v>45664.0</v>
      </c>
      <c r="E806" s="67" t="s">
        <v>688</v>
      </c>
      <c r="F806" s="67" t="s">
        <v>334</v>
      </c>
      <c r="G806" s="69">
        <f>SUMPRODUCT(('⚙️Pengaturan'!$C$3:$C$100=$F806)*('⚙️Pengaturan'!$D$3:$D$100))</f>
        <v>175000</v>
      </c>
      <c r="H806" s="70" t="s">
        <v>63</v>
      </c>
      <c r="I806" s="69"/>
      <c r="J806" s="69">
        <f t="shared" si="2"/>
        <v>175000</v>
      </c>
      <c r="K806" s="71"/>
    </row>
    <row r="807" ht="17.25" customHeight="1">
      <c r="A807" s="234"/>
      <c r="B807" s="235" t="b">
        <v>0</v>
      </c>
      <c r="C807" s="236">
        <v>800.0</v>
      </c>
      <c r="D807" s="237">
        <v>45665.0</v>
      </c>
      <c r="E807" s="238" t="s">
        <v>684</v>
      </c>
      <c r="F807" s="238" t="s">
        <v>336</v>
      </c>
      <c r="G807" s="239">
        <f>SUMPRODUCT(('⚙️Pengaturan'!$C$3:$C$100=$F807)*('⚙️Pengaturan'!$D$3:$D$100))</f>
        <v>225000</v>
      </c>
      <c r="H807" s="240" t="s">
        <v>28</v>
      </c>
      <c r="I807" s="239"/>
      <c r="J807" s="239">
        <f t="shared" si="2"/>
        <v>225000</v>
      </c>
      <c r="K807" s="241"/>
    </row>
    <row r="808" ht="17.25" customHeight="1">
      <c r="A808" s="234"/>
      <c r="B808" s="235" t="b">
        <v>0</v>
      </c>
      <c r="C808" s="236">
        <v>801.0</v>
      </c>
      <c r="D808" s="237">
        <v>45666.0</v>
      </c>
      <c r="E808" s="238" t="s">
        <v>689</v>
      </c>
      <c r="F808" s="238" t="s">
        <v>334</v>
      </c>
      <c r="G808" s="239">
        <f>SUMPRODUCT(('⚙️Pengaturan'!$C$3:$C$100=$F808)*('⚙️Pengaturan'!$D$3:$D$100))</f>
        <v>175000</v>
      </c>
      <c r="H808" s="240" t="s">
        <v>63</v>
      </c>
      <c r="I808" s="239"/>
      <c r="J808" s="239">
        <f t="shared" si="2"/>
        <v>175000</v>
      </c>
      <c r="K808" s="241"/>
    </row>
    <row r="809" ht="17.25" customHeight="1">
      <c r="A809" s="61"/>
      <c r="B809" s="63" t="b">
        <v>0</v>
      </c>
      <c r="C809" s="64">
        <v>802.0</v>
      </c>
      <c r="D809" s="65">
        <v>45666.0</v>
      </c>
      <c r="E809" s="67" t="s">
        <v>690</v>
      </c>
      <c r="F809" s="67" t="s">
        <v>334</v>
      </c>
      <c r="G809" s="69">
        <f>SUMPRODUCT(('⚙️Pengaturan'!$C$3:$C$100=$F809)*('⚙️Pengaturan'!$D$3:$D$100))</f>
        <v>175000</v>
      </c>
      <c r="H809" s="70" t="s">
        <v>63</v>
      </c>
      <c r="I809" s="69"/>
      <c r="J809" s="69">
        <f t="shared" si="2"/>
        <v>175000</v>
      </c>
      <c r="K809" s="71"/>
    </row>
    <row r="810" ht="17.25" customHeight="1">
      <c r="A810" s="61"/>
      <c r="B810" s="63" t="b">
        <v>0</v>
      </c>
      <c r="C810" s="64">
        <v>803.0</v>
      </c>
      <c r="D810" s="65">
        <v>45666.0</v>
      </c>
      <c r="E810" s="67" t="s">
        <v>649</v>
      </c>
      <c r="F810" s="67" t="s">
        <v>336</v>
      </c>
      <c r="G810" s="69">
        <f>SUMPRODUCT(('⚙️Pengaturan'!$C$3:$C$100=$F810)*('⚙️Pengaturan'!$D$3:$D$100))</f>
        <v>225000</v>
      </c>
      <c r="H810" s="70" t="s">
        <v>28</v>
      </c>
      <c r="I810" s="69"/>
      <c r="J810" s="69">
        <f t="shared" si="2"/>
        <v>225000</v>
      </c>
      <c r="K810" s="71"/>
    </row>
    <row r="811" ht="17.25" customHeight="1">
      <c r="A811" s="61"/>
      <c r="B811" s="63" t="b">
        <v>0</v>
      </c>
      <c r="C811" s="64">
        <v>804.0</v>
      </c>
      <c r="D811" s="65">
        <v>45666.0</v>
      </c>
      <c r="E811" s="67" t="s">
        <v>691</v>
      </c>
      <c r="F811" s="67" t="s">
        <v>336</v>
      </c>
      <c r="G811" s="69">
        <f>SUMPRODUCT(('⚙️Pengaturan'!$C$3:$C$100=$F811)*('⚙️Pengaturan'!$D$3:$D$100))</f>
        <v>225000</v>
      </c>
      <c r="H811" s="70" t="s">
        <v>28</v>
      </c>
      <c r="I811" s="69"/>
      <c r="J811" s="69">
        <f t="shared" si="2"/>
        <v>225000</v>
      </c>
      <c r="K811" s="71"/>
    </row>
    <row r="812" ht="17.25" customHeight="1">
      <c r="A812" s="61"/>
      <c r="B812" s="63" t="b">
        <v>0</v>
      </c>
      <c r="C812" s="64">
        <v>805.0</v>
      </c>
      <c r="D812" s="65">
        <v>45666.0</v>
      </c>
      <c r="E812" s="67" t="s">
        <v>688</v>
      </c>
      <c r="F812" s="67" t="s">
        <v>334</v>
      </c>
      <c r="G812" s="69">
        <f>SUMPRODUCT(('⚙️Pengaturan'!$C$3:$C$100=$F812)*('⚙️Pengaturan'!$D$3:$D$100))</f>
        <v>175000</v>
      </c>
      <c r="H812" s="70" t="s">
        <v>63</v>
      </c>
      <c r="I812" s="69"/>
      <c r="J812" s="69">
        <f t="shared" si="2"/>
        <v>175000</v>
      </c>
      <c r="K812" s="71"/>
    </row>
    <row r="813" ht="17.25" customHeight="1">
      <c r="A813" s="61"/>
      <c r="B813" s="63" t="b">
        <v>0</v>
      </c>
      <c r="C813" s="64">
        <v>806.0</v>
      </c>
      <c r="D813" s="65">
        <v>45666.0</v>
      </c>
      <c r="E813" s="67" t="s">
        <v>692</v>
      </c>
      <c r="F813" s="67" t="s">
        <v>334</v>
      </c>
      <c r="G813" s="69">
        <f>SUMPRODUCT(('⚙️Pengaturan'!$C$3:$C$100=$F813)*('⚙️Pengaturan'!$D$3:$D$100))</f>
        <v>175000</v>
      </c>
      <c r="H813" s="70" t="s">
        <v>28</v>
      </c>
      <c r="I813" s="69"/>
      <c r="J813" s="69">
        <f t="shared" si="2"/>
        <v>175000</v>
      </c>
      <c r="K813" s="71"/>
    </row>
    <row r="814" ht="17.25" customHeight="1">
      <c r="A814" s="61"/>
      <c r="B814" s="63" t="b">
        <v>0</v>
      </c>
      <c r="C814" s="64">
        <v>807.0</v>
      </c>
      <c r="D814" s="65">
        <v>45666.0</v>
      </c>
      <c r="E814" s="67" t="s">
        <v>693</v>
      </c>
      <c r="F814" s="67" t="s">
        <v>334</v>
      </c>
      <c r="G814" s="69">
        <f>SUMPRODUCT(('⚙️Pengaturan'!$C$3:$C$100=$F814)*('⚙️Pengaturan'!$D$3:$D$100))</f>
        <v>175000</v>
      </c>
      <c r="H814" s="70" t="s">
        <v>28</v>
      </c>
      <c r="I814" s="69"/>
      <c r="J814" s="69">
        <f t="shared" si="2"/>
        <v>175000</v>
      </c>
      <c r="K814" s="71"/>
    </row>
    <row r="815" ht="17.25" customHeight="1">
      <c r="A815" s="234"/>
      <c r="B815" s="235" t="b">
        <v>0</v>
      </c>
      <c r="C815" s="236">
        <v>808.0</v>
      </c>
      <c r="D815" s="237">
        <v>45668.0</v>
      </c>
      <c r="E815" s="238" t="s">
        <v>688</v>
      </c>
      <c r="F815" s="238" t="s">
        <v>334</v>
      </c>
      <c r="G815" s="239">
        <f>SUMPRODUCT(('⚙️Pengaturan'!$C$3:$C$100=$F815)*('⚙️Pengaturan'!$D$3:$D$100))</f>
        <v>175000</v>
      </c>
      <c r="H815" s="240" t="s">
        <v>63</v>
      </c>
      <c r="I815" s="239"/>
      <c r="J815" s="239">
        <f t="shared" si="2"/>
        <v>175000</v>
      </c>
      <c r="K815" s="241"/>
    </row>
    <row r="816" ht="17.25" customHeight="1">
      <c r="A816" s="61"/>
      <c r="B816" s="63" t="b">
        <v>0</v>
      </c>
      <c r="C816" s="64">
        <v>809.0</v>
      </c>
      <c r="D816" s="65">
        <v>45668.0</v>
      </c>
      <c r="E816" s="67" t="s">
        <v>694</v>
      </c>
      <c r="F816" s="67" t="s">
        <v>334</v>
      </c>
      <c r="G816" s="69">
        <f>SUMPRODUCT(('⚙️Pengaturan'!$C$3:$C$100=$F816)*('⚙️Pengaturan'!$D$3:$D$100))</f>
        <v>175000</v>
      </c>
      <c r="H816" s="70" t="s">
        <v>28</v>
      </c>
      <c r="I816" s="69"/>
      <c r="J816" s="69">
        <f t="shared" si="2"/>
        <v>175000</v>
      </c>
      <c r="K816" s="71"/>
    </row>
    <row r="817" ht="17.25" customHeight="1">
      <c r="A817" s="61"/>
      <c r="B817" s="63" t="b">
        <v>0</v>
      </c>
      <c r="C817" s="64">
        <v>810.0</v>
      </c>
      <c r="D817" s="65">
        <v>45668.0</v>
      </c>
      <c r="E817" s="67" t="s">
        <v>689</v>
      </c>
      <c r="F817" s="67" t="s">
        <v>334</v>
      </c>
      <c r="G817" s="69">
        <f>SUMPRODUCT(('⚙️Pengaturan'!$C$3:$C$100=$F817)*('⚙️Pengaturan'!$D$3:$D$100))</f>
        <v>175000</v>
      </c>
      <c r="H817" s="70" t="s">
        <v>63</v>
      </c>
      <c r="I817" s="69"/>
      <c r="J817" s="69">
        <f t="shared" si="2"/>
        <v>175000</v>
      </c>
      <c r="K817" s="71"/>
    </row>
    <row r="818" ht="17.25" customHeight="1">
      <c r="A818" s="234"/>
      <c r="B818" s="235" t="b">
        <v>0</v>
      </c>
      <c r="C818" s="236">
        <v>811.0</v>
      </c>
      <c r="D818" s="237">
        <v>45669.0</v>
      </c>
      <c r="E818" s="238" t="s">
        <v>650</v>
      </c>
      <c r="F818" s="238" t="s">
        <v>331</v>
      </c>
      <c r="G818" s="239">
        <f>SUMPRODUCT(('⚙️Pengaturan'!$C$3:$C$100=$F818)*('⚙️Pengaturan'!$D$3:$D$100))</f>
        <v>1400000</v>
      </c>
      <c r="H818" s="240" t="s">
        <v>63</v>
      </c>
      <c r="I818" s="239"/>
      <c r="J818" s="239">
        <f t="shared" si="2"/>
        <v>1400000</v>
      </c>
      <c r="K818" s="241"/>
    </row>
    <row r="819" ht="17.25" customHeight="1">
      <c r="A819" s="234"/>
      <c r="B819" s="235" t="b">
        <v>0</v>
      </c>
      <c r="C819" s="236">
        <v>812.0</v>
      </c>
      <c r="D819" s="237">
        <v>45670.0</v>
      </c>
      <c r="E819" s="238" t="s">
        <v>695</v>
      </c>
      <c r="F819" s="238" t="s">
        <v>334</v>
      </c>
      <c r="G819" s="239">
        <f>SUMPRODUCT(('⚙️Pengaturan'!$C$3:$C$100=$F819)*('⚙️Pengaturan'!$D$3:$D$100))</f>
        <v>175000</v>
      </c>
      <c r="H819" s="240" t="s">
        <v>28</v>
      </c>
      <c r="I819" s="239"/>
      <c r="J819" s="239">
        <f t="shared" si="2"/>
        <v>175000</v>
      </c>
      <c r="K819" s="241"/>
    </row>
    <row r="820" ht="17.25" customHeight="1">
      <c r="A820" s="234"/>
      <c r="B820" s="235" t="b">
        <v>0</v>
      </c>
      <c r="C820" s="236">
        <v>813.0</v>
      </c>
      <c r="D820" s="237">
        <v>45671.0</v>
      </c>
      <c r="E820" s="238" t="s">
        <v>658</v>
      </c>
      <c r="F820" s="238" t="s">
        <v>336</v>
      </c>
      <c r="G820" s="239">
        <f>SUMPRODUCT(('⚙️Pengaturan'!$C$3:$C$100=$F820)*('⚙️Pengaturan'!$D$3:$D$100))</f>
        <v>225000</v>
      </c>
      <c r="H820" s="240" t="s">
        <v>28</v>
      </c>
      <c r="I820" s="239"/>
      <c r="J820" s="239">
        <f t="shared" si="2"/>
        <v>225000</v>
      </c>
      <c r="K820" s="241"/>
    </row>
    <row r="821" ht="17.25" customHeight="1">
      <c r="A821" s="61"/>
      <c r="B821" s="63" t="b">
        <v>0</v>
      </c>
      <c r="C821" s="64">
        <v>814.0</v>
      </c>
      <c r="D821" s="65">
        <v>45671.0</v>
      </c>
      <c r="E821" s="67" t="s">
        <v>690</v>
      </c>
      <c r="F821" s="67" t="s">
        <v>334</v>
      </c>
      <c r="G821" s="69">
        <f>SUMPRODUCT(('⚙️Pengaturan'!$C$3:$C$100=$F821)*('⚙️Pengaturan'!$D$3:$D$100))</f>
        <v>175000</v>
      </c>
      <c r="H821" s="70" t="s">
        <v>63</v>
      </c>
      <c r="I821" s="69"/>
      <c r="J821" s="69">
        <f t="shared" si="2"/>
        <v>175000</v>
      </c>
      <c r="K821" s="71"/>
    </row>
    <row r="822" ht="17.25" customHeight="1">
      <c r="A822" s="61"/>
      <c r="B822" s="63" t="b">
        <v>0</v>
      </c>
      <c r="C822" s="64">
        <v>815.0</v>
      </c>
      <c r="D822" s="65">
        <v>45671.0</v>
      </c>
      <c r="E822" s="67" t="s">
        <v>696</v>
      </c>
      <c r="F822" s="67" t="s">
        <v>334</v>
      </c>
      <c r="G822" s="69">
        <f>SUMPRODUCT(('⚙️Pengaturan'!$C$3:$C$100=$F822)*('⚙️Pengaturan'!$D$3:$D$100))</f>
        <v>175000</v>
      </c>
      <c r="H822" s="70" t="s">
        <v>63</v>
      </c>
      <c r="I822" s="69"/>
      <c r="J822" s="69">
        <f t="shared" si="2"/>
        <v>175000</v>
      </c>
      <c r="K822" s="71"/>
    </row>
    <row r="823" ht="17.25" customHeight="1">
      <c r="A823" s="234"/>
      <c r="B823" s="235" t="b">
        <v>0</v>
      </c>
      <c r="C823" s="236">
        <v>816.0</v>
      </c>
      <c r="D823" s="237">
        <v>45672.0</v>
      </c>
      <c r="E823" s="238" t="s">
        <v>697</v>
      </c>
      <c r="F823" s="238" t="s">
        <v>334</v>
      </c>
      <c r="G823" s="239">
        <f>SUMPRODUCT(('⚙️Pengaturan'!$C$3:$C$100=$F823)*('⚙️Pengaturan'!$D$3:$D$100))</f>
        <v>175000</v>
      </c>
      <c r="H823" s="240"/>
      <c r="I823" s="239">
        <v>70000.0</v>
      </c>
      <c r="J823" s="239">
        <f t="shared" si="2"/>
        <v>105000</v>
      </c>
      <c r="K823" s="241"/>
    </row>
    <row r="824" ht="17.25" customHeight="1">
      <c r="A824" s="61"/>
      <c r="B824" s="63" t="b">
        <v>0</v>
      </c>
      <c r="C824" s="64">
        <v>817.0</v>
      </c>
      <c r="D824" s="65"/>
      <c r="E824" s="185"/>
      <c r="F824" s="185"/>
      <c r="G824" s="69">
        <f>SUMPRODUCT(('⚙️Pengaturan'!$C$3:$C$100=$F824)*('⚙️Pengaturan'!$D$3:$D$100))</f>
        <v>0</v>
      </c>
      <c r="H824" s="70"/>
      <c r="I824" s="69"/>
      <c r="J824" s="69">
        <f t="shared" si="2"/>
        <v>0</v>
      </c>
      <c r="K824" s="71"/>
    </row>
    <row r="825" ht="17.25" customHeight="1">
      <c r="A825" s="61"/>
      <c r="B825" s="63" t="b">
        <v>0</v>
      </c>
      <c r="C825" s="64">
        <v>818.0</v>
      </c>
      <c r="D825" s="65"/>
      <c r="E825" s="185"/>
      <c r="F825" s="185"/>
      <c r="G825" s="69">
        <f>SUMPRODUCT(('⚙️Pengaturan'!$C$3:$C$100=$F825)*('⚙️Pengaturan'!$D$3:$D$100))</f>
        <v>0</v>
      </c>
      <c r="H825" s="70"/>
      <c r="I825" s="69"/>
      <c r="J825" s="69">
        <f t="shared" si="2"/>
        <v>0</v>
      </c>
      <c r="K825" s="71"/>
    </row>
    <row r="826" ht="17.25" customHeight="1">
      <c r="A826" s="61"/>
      <c r="B826" s="63" t="b">
        <v>0</v>
      </c>
      <c r="C826" s="64">
        <v>819.0</v>
      </c>
      <c r="D826" s="65"/>
      <c r="E826" s="185"/>
      <c r="F826" s="185"/>
      <c r="G826" s="69">
        <f>SUMPRODUCT(('⚙️Pengaturan'!$C$3:$C$100=$F826)*('⚙️Pengaturan'!$D$3:$D$100))</f>
        <v>0</v>
      </c>
      <c r="H826" s="70"/>
      <c r="I826" s="69"/>
      <c r="J826" s="69">
        <f t="shared" si="2"/>
        <v>0</v>
      </c>
      <c r="K826" s="71"/>
    </row>
    <row r="827" ht="17.25" customHeight="1">
      <c r="A827" s="61"/>
      <c r="B827" s="63" t="b">
        <v>0</v>
      </c>
      <c r="C827" s="64">
        <v>820.0</v>
      </c>
      <c r="D827" s="65"/>
      <c r="E827" s="185"/>
      <c r="F827" s="185"/>
      <c r="G827" s="69">
        <f>SUMPRODUCT(('⚙️Pengaturan'!$C$3:$C$100=$F827)*('⚙️Pengaturan'!$D$3:$D$100))</f>
        <v>0</v>
      </c>
      <c r="H827" s="70"/>
      <c r="I827" s="69"/>
      <c r="J827" s="69">
        <f t="shared" si="2"/>
        <v>0</v>
      </c>
      <c r="K827" s="71"/>
    </row>
    <row r="828" ht="17.25" customHeight="1">
      <c r="A828" s="61"/>
      <c r="B828" s="63" t="b">
        <v>0</v>
      </c>
      <c r="C828" s="64">
        <v>821.0</v>
      </c>
      <c r="D828" s="65"/>
      <c r="E828" s="185"/>
      <c r="F828" s="185"/>
      <c r="G828" s="69">
        <f>SUMPRODUCT(('⚙️Pengaturan'!$C$3:$C$100=$F828)*('⚙️Pengaturan'!$D$3:$D$100))</f>
        <v>0</v>
      </c>
      <c r="H828" s="70"/>
      <c r="I828" s="69"/>
      <c r="J828" s="69">
        <f t="shared" si="2"/>
        <v>0</v>
      </c>
      <c r="K828" s="71"/>
    </row>
    <row r="829" ht="17.25" customHeight="1">
      <c r="A829" s="61"/>
      <c r="B829" s="63" t="b">
        <v>0</v>
      </c>
      <c r="C829" s="64">
        <v>822.0</v>
      </c>
      <c r="D829" s="65"/>
      <c r="E829" s="185"/>
      <c r="F829" s="185"/>
      <c r="G829" s="69">
        <f>SUMPRODUCT(('⚙️Pengaturan'!$C$3:$C$100=$F829)*('⚙️Pengaturan'!$D$3:$D$100))</f>
        <v>0</v>
      </c>
      <c r="H829" s="70"/>
      <c r="I829" s="69"/>
      <c r="J829" s="69">
        <f t="shared" si="2"/>
        <v>0</v>
      </c>
      <c r="K829" s="71"/>
    </row>
    <row r="830" ht="17.25" customHeight="1">
      <c r="A830" s="61"/>
      <c r="B830" s="63" t="b">
        <v>0</v>
      </c>
      <c r="C830" s="64">
        <v>823.0</v>
      </c>
      <c r="D830" s="65"/>
      <c r="E830" s="185"/>
      <c r="F830" s="185"/>
      <c r="G830" s="69">
        <f>SUMPRODUCT(('⚙️Pengaturan'!$C$3:$C$100=$F830)*('⚙️Pengaturan'!$D$3:$D$100))</f>
        <v>0</v>
      </c>
      <c r="H830" s="70"/>
      <c r="I830" s="69"/>
      <c r="J830" s="69">
        <f t="shared" si="2"/>
        <v>0</v>
      </c>
      <c r="K830" s="71"/>
    </row>
    <row r="831" ht="17.25" customHeight="1">
      <c r="A831" s="61"/>
      <c r="B831" s="63" t="b">
        <v>0</v>
      </c>
      <c r="C831" s="64">
        <v>824.0</v>
      </c>
      <c r="D831" s="65"/>
      <c r="E831" s="185"/>
      <c r="F831" s="185"/>
      <c r="G831" s="69">
        <f>SUMPRODUCT(('⚙️Pengaturan'!$C$3:$C$100=$F831)*('⚙️Pengaturan'!$D$3:$D$100))</f>
        <v>0</v>
      </c>
      <c r="H831" s="70"/>
      <c r="I831" s="69"/>
      <c r="J831" s="69">
        <f t="shared" si="2"/>
        <v>0</v>
      </c>
      <c r="K831" s="71"/>
    </row>
    <row r="832" ht="17.25" customHeight="1">
      <c r="A832" s="61"/>
      <c r="B832" s="63" t="b">
        <v>0</v>
      </c>
      <c r="C832" s="64">
        <v>825.0</v>
      </c>
      <c r="D832" s="65"/>
      <c r="E832" s="185"/>
      <c r="F832" s="185"/>
      <c r="G832" s="69">
        <f>SUMPRODUCT(('⚙️Pengaturan'!$C$3:$C$100=$F832)*('⚙️Pengaturan'!$D$3:$D$100))</f>
        <v>0</v>
      </c>
      <c r="H832" s="70"/>
      <c r="I832" s="69"/>
      <c r="J832" s="69">
        <f t="shared" si="2"/>
        <v>0</v>
      </c>
      <c r="K832" s="71"/>
    </row>
    <row r="833" ht="17.25" customHeight="1">
      <c r="A833" s="61"/>
      <c r="B833" s="63" t="b">
        <v>0</v>
      </c>
      <c r="C833" s="64">
        <v>826.0</v>
      </c>
      <c r="D833" s="65"/>
      <c r="E833" s="185"/>
      <c r="F833" s="185"/>
      <c r="G833" s="69">
        <f>SUMPRODUCT(('⚙️Pengaturan'!$C$3:$C$100=$F833)*('⚙️Pengaturan'!$D$3:$D$100))</f>
        <v>0</v>
      </c>
      <c r="H833" s="70"/>
      <c r="I833" s="69"/>
      <c r="J833" s="69">
        <f t="shared" si="2"/>
        <v>0</v>
      </c>
      <c r="K833" s="71"/>
    </row>
    <row r="834" ht="17.25" customHeight="1">
      <c r="A834" s="61"/>
      <c r="B834" s="63" t="b">
        <v>0</v>
      </c>
      <c r="C834" s="64">
        <v>827.0</v>
      </c>
      <c r="D834" s="65"/>
      <c r="E834" s="185"/>
      <c r="F834" s="185"/>
      <c r="G834" s="69">
        <f>SUMPRODUCT(('⚙️Pengaturan'!$C$3:$C$100=$F834)*('⚙️Pengaturan'!$D$3:$D$100))</f>
        <v>0</v>
      </c>
      <c r="H834" s="70"/>
      <c r="I834" s="69"/>
      <c r="J834" s="69">
        <f t="shared" si="2"/>
        <v>0</v>
      </c>
      <c r="K834" s="71"/>
    </row>
    <row r="835" ht="17.25" customHeight="1">
      <c r="A835" s="61"/>
      <c r="B835" s="63" t="b">
        <v>0</v>
      </c>
      <c r="C835" s="64">
        <v>828.0</v>
      </c>
      <c r="D835" s="65"/>
      <c r="E835" s="185"/>
      <c r="F835" s="185"/>
      <c r="G835" s="69">
        <f>SUMPRODUCT(('⚙️Pengaturan'!$C$3:$C$100=$F835)*('⚙️Pengaturan'!$D$3:$D$100))</f>
        <v>0</v>
      </c>
      <c r="H835" s="70"/>
      <c r="I835" s="69"/>
      <c r="J835" s="69">
        <f t="shared" si="2"/>
        <v>0</v>
      </c>
      <c r="K835" s="71"/>
    </row>
    <row r="836" ht="17.25" customHeight="1">
      <c r="A836" s="61"/>
      <c r="B836" s="63" t="b">
        <v>0</v>
      </c>
      <c r="C836" s="64">
        <v>829.0</v>
      </c>
      <c r="D836" s="65"/>
      <c r="E836" s="185"/>
      <c r="F836" s="185"/>
      <c r="G836" s="69">
        <f>SUMPRODUCT(('⚙️Pengaturan'!$C$3:$C$100=$F836)*('⚙️Pengaturan'!$D$3:$D$100))</f>
        <v>0</v>
      </c>
      <c r="H836" s="70"/>
      <c r="I836" s="69"/>
      <c r="J836" s="69">
        <f t="shared" si="2"/>
        <v>0</v>
      </c>
      <c r="K836" s="71"/>
    </row>
    <row r="837" ht="17.25" customHeight="1">
      <c r="A837" s="61"/>
      <c r="B837" s="63" t="b">
        <v>0</v>
      </c>
      <c r="C837" s="64">
        <v>830.0</v>
      </c>
      <c r="D837" s="65"/>
      <c r="E837" s="185"/>
      <c r="F837" s="185"/>
      <c r="G837" s="69">
        <f>SUMPRODUCT(('⚙️Pengaturan'!$C$3:$C$100=$F837)*('⚙️Pengaturan'!$D$3:$D$100))</f>
        <v>0</v>
      </c>
      <c r="H837" s="70"/>
      <c r="I837" s="69"/>
      <c r="J837" s="69">
        <f t="shared" si="2"/>
        <v>0</v>
      </c>
      <c r="K837" s="71"/>
    </row>
    <row r="838" ht="17.25" customHeight="1">
      <c r="A838" s="61"/>
      <c r="B838" s="63" t="b">
        <v>0</v>
      </c>
      <c r="C838" s="64">
        <v>831.0</v>
      </c>
      <c r="D838" s="65"/>
      <c r="E838" s="185"/>
      <c r="F838" s="185"/>
      <c r="G838" s="69">
        <f>SUMPRODUCT(('⚙️Pengaturan'!$C$3:$C$100=$F838)*('⚙️Pengaturan'!$D$3:$D$100))</f>
        <v>0</v>
      </c>
      <c r="H838" s="70"/>
      <c r="I838" s="69"/>
      <c r="J838" s="69">
        <f t="shared" si="2"/>
        <v>0</v>
      </c>
      <c r="K838" s="71"/>
    </row>
    <row r="839" ht="17.25" customHeight="1">
      <c r="A839" s="61"/>
      <c r="B839" s="63" t="b">
        <v>0</v>
      </c>
      <c r="C839" s="64">
        <v>832.0</v>
      </c>
      <c r="D839" s="65"/>
      <c r="E839" s="185"/>
      <c r="F839" s="185"/>
      <c r="G839" s="69">
        <f>SUMPRODUCT(('⚙️Pengaturan'!$C$3:$C$100=$F839)*('⚙️Pengaturan'!$D$3:$D$100))</f>
        <v>0</v>
      </c>
      <c r="H839" s="70"/>
      <c r="I839" s="69"/>
      <c r="J839" s="69">
        <f t="shared" si="2"/>
        <v>0</v>
      </c>
      <c r="K839" s="71"/>
    </row>
    <row r="840" ht="17.25" customHeight="1">
      <c r="A840" s="61"/>
      <c r="B840" s="63" t="b">
        <v>0</v>
      </c>
      <c r="C840" s="64">
        <v>833.0</v>
      </c>
      <c r="D840" s="65"/>
      <c r="E840" s="185"/>
      <c r="F840" s="185"/>
      <c r="G840" s="69">
        <f>SUMPRODUCT(('⚙️Pengaturan'!$C$3:$C$100=$F840)*('⚙️Pengaturan'!$D$3:$D$100))</f>
        <v>0</v>
      </c>
      <c r="H840" s="70"/>
      <c r="I840" s="69"/>
      <c r="J840" s="69">
        <f t="shared" si="2"/>
        <v>0</v>
      </c>
      <c r="K840" s="71"/>
    </row>
    <row r="841" ht="17.25" customHeight="1">
      <c r="A841" s="61"/>
      <c r="B841" s="63" t="b">
        <v>0</v>
      </c>
      <c r="C841" s="64">
        <v>834.0</v>
      </c>
      <c r="D841" s="65"/>
      <c r="E841" s="185"/>
      <c r="F841" s="185"/>
      <c r="G841" s="69">
        <f>SUMPRODUCT(('⚙️Pengaturan'!$C$3:$C$100=$F841)*('⚙️Pengaturan'!$D$3:$D$100))</f>
        <v>0</v>
      </c>
      <c r="H841" s="70"/>
      <c r="I841" s="69"/>
      <c r="J841" s="69">
        <f t="shared" si="2"/>
        <v>0</v>
      </c>
      <c r="K841" s="71"/>
    </row>
    <row r="842" ht="17.25" customHeight="1">
      <c r="A842" s="61"/>
      <c r="B842" s="63" t="b">
        <v>0</v>
      </c>
      <c r="C842" s="64">
        <v>835.0</v>
      </c>
      <c r="D842" s="65"/>
      <c r="E842" s="185"/>
      <c r="F842" s="185"/>
      <c r="G842" s="69">
        <f>SUMPRODUCT(('⚙️Pengaturan'!$C$3:$C$100=$F842)*('⚙️Pengaturan'!$D$3:$D$100))</f>
        <v>0</v>
      </c>
      <c r="H842" s="70"/>
      <c r="I842" s="69"/>
      <c r="J842" s="69">
        <f t="shared" si="2"/>
        <v>0</v>
      </c>
      <c r="K842" s="71"/>
    </row>
    <row r="843" ht="17.25" customHeight="1">
      <c r="A843" s="61"/>
      <c r="B843" s="63" t="b">
        <v>0</v>
      </c>
      <c r="C843" s="64">
        <v>836.0</v>
      </c>
      <c r="D843" s="65"/>
      <c r="E843" s="185"/>
      <c r="F843" s="185"/>
      <c r="G843" s="69">
        <f>SUMPRODUCT(('⚙️Pengaturan'!$C$3:$C$100=$F843)*('⚙️Pengaturan'!$D$3:$D$100))</f>
        <v>0</v>
      </c>
      <c r="H843" s="70"/>
      <c r="I843" s="69"/>
      <c r="J843" s="69">
        <f t="shared" si="2"/>
        <v>0</v>
      </c>
      <c r="K843" s="71"/>
    </row>
    <row r="844" ht="17.25" customHeight="1">
      <c r="A844" s="61"/>
      <c r="B844" s="63" t="b">
        <v>0</v>
      </c>
      <c r="C844" s="64">
        <v>837.0</v>
      </c>
      <c r="D844" s="65"/>
      <c r="E844" s="185"/>
      <c r="F844" s="185"/>
      <c r="G844" s="69">
        <f>SUMPRODUCT(('⚙️Pengaturan'!$C$3:$C$100=$F844)*('⚙️Pengaturan'!$D$3:$D$100))</f>
        <v>0</v>
      </c>
      <c r="H844" s="70"/>
      <c r="I844" s="69"/>
      <c r="J844" s="69">
        <f t="shared" si="2"/>
        <v>0</v>
      </c>
      <c r="K844" s="71"/>
    </row>
    <row r="845" ht="17.25" customHeight="1">
      <c r="A845" s="61"/>
      <c r="B845" s="63" t="b">
        <v>0</v>
      </c>
      <c r="C845" s="64">
        <v>838.0</v>
      </c>
      <c r="D845" s="65"/>
      <c r="E845" s="185"/>
      <c r="F845" s="185"/>
      <c r="G845" s="69">
        <f>SUMPRODUCT(('⚙️Pengaturan'!$C$3:$C$100=$F845)*('⚙️Pengaturan'!$D$3:$D$100))</f>
        <v>0</v>
      </c>
      <c r="H845" s="70"/>
      <c r="I845" s="69"/>
      <c r="J845" s="69">
        <f t="shared" si="2"/>
        <v>0</v>
      </c>
      <c r="K845" s="71"/>
    </row>
    <row r="846" ht="17.25" customHeight="1">
      <c r="A846" s="61"/>
      <c r="B846" s="63" t="b">
        <v>0</v>
      </c>
      <c r="C846" s="64">
        <v>839.0</v>
      </c>
      <c r="D846" s="65"/>
      <c r="E846" s="185"/>
      <c r="F846" s="185"/>
      <c r="G846" s="69">
        <f>SUMPRODUCT(('⚙️Pengaturan'!$C$3:$C$100=$F846)*('⚙️Pengaturan'!$D$3:$D$100))</f>
        <v>0</v>
      </c>
      <c r="H846" s="70"/>
      <c r="I846" s="69"/>
      <c r="J846" s="69">
        <f t="shared" si="2"/>
        <v>0</v>
      </c>
      <c r="K846" s="71"/>
    </row>
    <row r="847" ht="17.25" customHeight="1">
      <c r="A847" s="61"/>
      <c r="B847" s="63" t="b">
        <v>0</v>
      </c>
      <c r="C847" s="64">
        <v>840.0</v>
      </c>
      <c r="D847" s="65"/>
      <c r="E847" s="185"/>
      <c r="F847" s="185"/>
      <c r="G847" s="69">
        <f>SUMPRODUCT(('⚙️Pengaturan'!$C$3:$C$100=$F847)*('⚙️Pengaturan'!$D$3:$D$100))</f>
        <v>0</v>
      </c>
      <c r="H847" s="70"/>
      <c r="I847" s="69"/>
      <c r="J847" s="69">
        <f t="shared" si="2"/>
        <v>0</v>
      </c>
      <c r="K847" s="71"/>
    </row>
    <row r="848" ht="17.25" customHeight="1">
      <c r="A848" s="61"/>
      <c r="B848" s="63" t="b">
        <v>0</v>
      </c>
      <c r="C848" s="64">
        <v>841.0</v>
      </c>
      <c r="D848" s="65"/>
      <c r="E848" s="185"/>
      <c r="F848" s="185"/>
      <c r="G848" s="69">
        <f>SUMPRODUCT(('⚙️Pengaturan'!$C$3:$C$100=$F848)*('⚙️Pengaturan'!$D$3:$D$100))</f>
        <v>0</v>
      </c>
      <c r="H848" s="70"/>
      <c r="I848" s="69"/>
      <c r="J848" s="69">
        <f t="shared" si="2"/>
        <v>0</v>
      </c>
      <c r="K848" s="71"/>
    </row>
    <row r="849" ht="17.25" customHeight="1">
      <c r="A849" s="61"/>
      <c r="B849" s="63" t="b">
        <v>0</v>
      </c>
      <c r="C849" s="64">
        <v>842.0</v>
      </c>
      <c r="D849" s="65"/>
      <c r="E849" s="185"/>
      <c r="F849" s="185"/>
      <c r="G849" s="69">
        <f>SUMPRODUCT(('⚙️Pengaturan'!$C$3:$C$100=$F849)*('⚙️Pengaturan'!$D$3:$D$100))</f>
        <v>0</v>
      </c>
      <c r="H849" s="70"/>
      <c r="I849" s="69"/>
      <c r="J849" s="69">
        <f t="shared" si="2"/>
        <v>0</v>
      </c>
      <c r="K849" s="71"/>
    </row>
    <row r="850" ht="17.25" customHeight="1">
      <c r="A850" s="61"/>
      <c r="B850" s="63" t="b">
        <v>0</v>
      </c>
      <c r="C850" s="64">
        <v>843.0</v>
      </c>
      <c r="D850" s="65"/>
      <c r="E850" s="185"/>
      <c r="F850" s="185"/>
      <c r="G850" s="69">
        <f>SUMPRODUCT(('⚙️Pengaturan'!$C$3:$C$100=$F850)*('⚙️Pengaturan'!$D$3:$D$100))</f>
        <v>0</v>
      </c>
      <c r="H850" s="70"/>
      <c r="I850" s="69"/>
      <c r="J850" s="69">
        <f t="shared" si="2"/>
        <v>0</v>
      </c>
      <c r="K850" s="71"/>
    </row>
    <row r="851" ht="17.25" customHeight="1">
      <c r="A851" s="61"/>
      <c r="B851" s="63" t="b">
        <v>0</v>
      </c>
      <c r="C851" s="64">
        <v>844.0</v>
      </c>
      <c r="D851" s="65"/>
      <c r="E851" s="185"/>
      <c r="F851" s="185"/>
      <c r="G851" s="69">
        <f>SUMPRODUCT(('⚙️Pengaturan'!$C$3:$C$100=$F851)*('⚙️Pengaturan'!$D$3:$D$100))</f>
        <v>0</v>
      </c>
      <c r="H851" s="70"/>
      <c r="I851" s="69"/>
      <c r="J851" s="69">
        <f t="shared" si="2"/>
        <v>0</v>
      </c>
      <c r="K851" s="71"/>
    </row>
    <row r="852" ht="17.25" customHeight="1">
      <c r="A852" s="61"/>
      <c r="B852" s="63" t="b">
        <v>0</v>
      </c>
      <c r="C852" s="64">
        <v>845.0</v>
      </c>
      <c r="D852" s="65"/>
      <c r="E852" s="185"/>
      <c r="F852" s="185"/>
      <c r="G852" s="69">
        <f>SUMPRODUCT(('⚙️Pengaturan'!$C$3:$C$100=$F852)*('⚙️Pengaturan'!$D$3:$D$100))</f>
        <v>0</v>
      </c>
      <c r="H852" s="70"/>
      <c r="I852" s="69"/>
      <c r="J852" s="69">
        <f t="shared" si="2"/>
        <v>0</v>
      </c>
      <c r="K852" s="71"/>
    </row>
    <row r="853" ht="17.25" customHeight="1">
      <c r="A853" s="61"/>
      <c r="B853" s="63" t="b">
        <v>0</v>
      </c>
      <c r="C853" s="64">
        <v>846.0</v>
      </c>
      <c r="D853" s="65"/>
      <c r="E853" s="185"/>
      <c r="F853" s="185"/>
      <c r="G853" s="69">
        <f>SUMPRODUCT(('⚙️Pengaturan'!$C$3:$C$100=$F853)*('⚙️Pengaturan'!$D$3:$D$100))</f>
        <v>0</v>
      </c>
      <c r="H853" s="70"/>
      <c r="I853" s="69"/>
      <c r="J853" s="69">
        <f t="shared" si="2"/>
        <v>0</v>
      </c>
      <c r="K853" s="71"/>
    </row>
    <row r="854" ht="17.25" customHeight="1">
      <c r="A854" s="61"/>
      <c r="B854" s="63" t="b">
        <v>0</v>
      </c>
      <c r="C854" s="64">
        <v>847.0</v>
      </c>
      <c r="D854" s="65"/>
      <c r="E854" s="185"/>
      <c r="F854" s="185"/>
      <c r="G854" s="69">
        <f>SUMPRODUCT(('⚙️Pengaturan'!$C$3:$C$100=$F854)*('⚙️Pengaturan'!$D$3:$D$100))</f>
        <v>0</v>
      </c>
      <c r="H854" s="70"/>
      <c r="I854" s="69"/>
      <c r="J854" s="69">
        <f t="shared" si="2"/>
        <v>0</v>
      </c>
      <c r="K854" s="71"/>
    </row>
    <row r="855" ht="17.25" customHeight="1">
      <c r="A855" s="61"/>
      <c r="B855" s="63" t="b">
        <v>0</v>
      </c>
      <c r="C855" s="64">
        <v>848.0</v>
      </c>
      <c r="D855" s="65"/>
      <c r="E855" s="185"/>
      <c r="F855" s="185"/>
      <c r="G855" s="69">
        <f>SUMPRODUCT(('⚙️Pengaturan'!$C$3:$C$100=$F855)*('⚙️Pengaturan'!$D$3:$D$100))</f>
        <v>0</v>
      </c>
      <c r="H855" s="70"/>
      <c r="I855" s="69"/>
      <c r="J855" s="69">
        <f t="shared" si="2"/>
        <v>0</v>
      </c>
      <c r="K855" s="71"/>
    </row>
    <row r="856" ht="17.25" customHeight="1">
      <c r="A856" s="61"/>
      <c r="B856" s="63" t="b">
        <v>0</v>
      </c>
      <c r="C856" s="64">
        <v>849.0</v>
      </c>
      <c r="D856" s="65"/>
      <c r="E856" s="185"/>
      <c r="F856" s="185"/>
      <c r="G856" s="69">
        <f>SUMPRODUCT(('⚙️Pengaturan'!$C$3:$C$100=$F856)*('⚙️Pengaturan'!$D$3:$D$100))</f>
        <v>0</v>
      </c>
      <c r="H856" s="70"/>
      <c r="I856" s="69"/>
      <c r="J856" s="69">
        <f t="shared" si="2"/>
        <v>0</v>
      </c>
      <c r="K856" s="71"/>
    </row>
    <row r="857" ht="17.25" customHeight="1">
      <c r="A857" s="61"/>
      <c r="B857" s="63" t="b">
        <v>0</v>
      </c>
      <c r="C857" s="64">
        <v>850.0</v>
      </c>
      <c r="D857" s="65"/>
      <c r="E857" s="185"/>
      <c r="F857" s="185"/>
      <c r="G857" s="69">
        <f>SUMPRODUCT(('⚙️Pengaturan'!$C$3:$C$100=$F857)*('⚙️Pengaturan'!$D$3:$D$100))</f>
        <v>0</v>
      </c>
      <c r="H857" s="70"/>
      <c r="I857" s="69"/>
      <c r="J857" s="69">
        <f t="shared" si="2"/>
        <v>0</v>
      </c>
      <c r="K857" s="71"/>
    </row>
    <row r="858" ht="17.25" customHeight="1">
      <c r="A858" s="61"/>
      <c r="B858" s="63" t="b">
        <v>0</v>
      </c>
      <c r="C858" s="64">
        <v>851.0</v>
      </c>
      <c r="D858" s="65"/>
      <c r="E858" s="185"/>
      <c r="F858" s="185"/>
      <c r="G858" s="69">
        <f>SUMPRODUCT(('⚙️Pengaturan'!$C$3:$C$100=$F858)*('⚙️Pengaturan'!$D$3:$D$100))</f>
        <v>0</v>
      </c>
      <c r="H858" s="70"/>
      <c r="I858" s="69"/>
      <c r="J858" s="69">
        <f t="shared" si="2"/>
        <v>0</v>
      </c>
      <c r="K858" s="71"/>
    </row>
    <row r="859" ht="17.25" customHeight="1">
      <c r="A859" s="61"/>
      <c r="B859" s="63" t="b">
        <v>0</v>
      </c>
      <c r="C859" s="64">
        <v>852.0</v>
      </c>
      <c r="D859" s="65"/>
      <c r="E859" s="185"/>
      <c r="F859" s="185"/>
      <c r="G859" s="69">
        <f>SUMPRODUCT(('⚙️Pengaturan'!$C$3:$C$100=$F859)*('⚙️Pengaturan'!$D$3:$D$100))</f>
        <v>0</v>
      </c>
      <c r="H859" s="70"/>
      <c r="I859" s="69"/>
      <c r="J859" s="69">
        <f t="shared" si="2"/>
        <v>0</v>
      </c>
      <c r="K859" s="71"/>
    </row>
    <row r="860" ht="17.25" customHeight="1">
      <c r="A860" s="61"/>
      <c r="B860" s="63" t="b">
        <v>0</v>
      </c>
      <c r="C860" s="64">
        <v>853.0</v>
      </c>
      <c r="D860" s="65"/>
      <c r="E860" s="185"/>
      <c r="F860" s="185"/>
      <c r="G860" s="69">
        <f>SUMPRODUCT(('⚙️Pengaturan'!$C$3:$C$100=$F860)*('⚙️Pengaturan'!$D$3:$D$100))</f>
        <v>0</v>
      </c>
      <c r="H860" s="70"/>
      <c r="I860" s="69"/>
      <c r="J860" s="69">
        <f t="shared" si="2"/>
        <v>0</v>
      </c>
      <c r="K860" s="71"/>
    </row>
    <row r="861" ht="17.25" customHeight="1">
      <c r="A861" s="61"/>
      <c r="B861" s="63" t="b">
        <v>0</v>
      </c>
      <c r="C861" s="64">
        <v>854.0</v>
      </c>
      <c r="D861" s="65"/>
      <c r="E861" s="185"/>
      <c r="F861" s="185"/>
      <c r="G861" s="69">
        <f>SUMPRODUCT(('⚙️Pengaturan'!$C$3:$C$100=$F861)*('⚙️Pengaturan'!$D$3:$D$100))</f>
        <v>0</v>
      </c>
      <c r="H861" s="70"/>
      <c r="I861" s="69"/>
      <c r="J861" s="69">
        <f t="shared" si="2"/>
        <v>0</v>
      </c>
      <c r="K861" s="71"/>
    </row>
    <row r="862" ht="17.25" customHeight="1">
      <c r="A862" s="61"/>
      <c r="B862" s="63" t="b">
        <v>0</v>
      </c>
      <c r="C862" s="64">
        <v>855.0</v>
      </c>
      <c r="D862" s="65"/>
      <c r="E862" s="185"/>
      <c r="F862" s="185"/>
      <c r="G862" s="69">
        <f>SUMPRODUCT(('⚙️Pengaturan'!$C$3:$C$100=$F862)*('⚙️Pengaturan'!$D$3:$D$100))</f>
        <v>0</v>
      </c>
      <c r="H862" s="70"/>
      <c r="I862" s="69"/>
      <c r="J862" s="69">
        <f t="shared" si="2"/>
        <v>0</v>
      </c>
      <c r="K862" s="71"/>
    </row>
    <row r="863" ht="17.25" customHeight="1">
      <c r="A863" s="61"/>
      <c r="B863" s="63" t="b">
        <v>0</v>
      </c>
      <c r="C863" s="64">
        <v>856.0</v>
      </c>
      <c r="D863" s="65"/>
      <c r="E863" s="185"/>
      <c r="F863" s="185"/>
      <c r="G863" s="69">
        <f>SUMPRODUCT(('⚙️Pengaturan'!$C$3:$C$100=$F863)*('⚙️Pengaturan'!$D$3:$D$100))</f>
        <v>0</v>
      </c>
      <c r="H863" s="70"/>
      <c r="I863" s="69"/>
      <c r="J863" s="69">
        <f t="shared" si="2"/>
        <v>0</v>
      </c>
      <c r="K863" s="71"/>
    </row>
    <row r="864" ht="17.25" customHeight="1">
      <c r="A864" s="61"/>
      <c r="B864" s="63" t="b">
        <v>0</v>
      </c>
      <c r="C864" s="64">
        <v>857.0</v>
      </c>
      <c r="D864" s="65"/>
      <c r="E864" s="185"/>
      <c r="F864" s="185"/>
      <c r="G864" s="69">
        <f>SUMPRODUCT(('⚙️Pengaturan'!$C$3:$C$100=$F864)*('⚙️Pengaturan'!$D$3:$D$100))</f>
        <v>0</v>
      </c>
      <c r="H864" s="70"/>
      <c r="I864" s="69"/>
      <c r="J864" s="69">
        <f t="shared" si="2"/>
        <v>0</v>
      </c>
      <c r="K864" s="71"/>
    </row>
    <row r="865" ht="17.25" customHeight="1">
      <c r="A865" s="61"/>
      <c r="B865" s="63" t="b">
        <v>0</v>
      </c>
      <c r="C865" s="64">
        <v>858.0</v>
      </c>
      <c r="D865" s="65"/>
      <c r="E865" s="185"/>
      <c r="F865" s="185"/>
      <c r="G865" s="69">
        <f>SUMPRODUCT(('⚙️Pengaturan'!$C$3:$C$100=$F865)*('⚙️Pengaturan'!$D$3:$D$100))</f>
        <v>0</v>
      </c>
      <c r="H865" s="70"/>
      <c r="I865" s="69"/>
      <c r="J865" s="69">
        <f t="shared" si="2"/>
        <v>0</v>
      </c>
      <c r="K865" s="71"/>
    </row>
    <row r="866" ht="17.25" customHeight="1">
      <c r="A866" s="61"/>
      <c r="B866" s="63" t="b">
        <v>0</v>
      </c>
      <c r="C866" s="64">
        <v>859.0</v>
      </c>
      <c r="D866" s="65"/>
      <c r="E866" s="185"/>
      <c r="F866" s="185"/>
      <c r="G866" s="69">
        <f>SUMPRODUCT(('⚙️Pengaturan'!$C$3:$C$100=$F866)*('⚙️Pengaturan'!$D$3:$D$100))</f>
        <v>0</v>
      </c>
      <c r="H866" s="70"/>
      <c r="I866" s="69"/>
      <c r="J866" s="69">
        <f t="shared" si="2"/>
        <v>0</v>
      </c>
      <c r="K866" s="71"/>
    </row>
    <row r="867" ht="17.25" customHeight="1">
      <c r="A867" s="61"/>
      <c r="B867" s="63" t="b">
        <v>0</v>
      </c>
      <c r="C867" s="64">
        <v>860.0</v>
      </c>
      <c r="D867" s="65"/>
      <c r="E867" s="185"/>
      <c r="F867" s="185"/>
      <c r="G867" s="69">
        <f>SUMPRODUCT(('⚙️Pengaturan'!$C$3:$C$100=$F867)*('⚙️Pengaturan'!$D$3:$D$100))</f>
        <v>0</v>
      </c>
      <c r="H867" s="70"/>
      <c r="I867" s="69"/>
      <c r="J867" s="69">
        <f t="shared" si="2"/>
        <v>0</v>
      </c>
      <c r="K867" s="71"/>
    </row>
    <row r="868" ht="17.25" customHeight="1">
      <c r="A868" s="61"/>
      <c r="B868" s="63" t="b">
        <v>0</v>
      </c>
      <c r="C868" s="64">
        <v>861.0</v>
      </c>
      <c r="D868" s="65"/>
      <c r="E868" s="185"/>
      <c r="F868" s="185"/>
      <c r="G868" s="69">
        <f>SUMPRODUCT(('⚙️Pengaturan'!$C$3:$C$100=$F868)*('⚙️Pengaturan'!$D$3:$D$100))</f>
        <v>0</v>
      </c>
      <c r="H868" s="70"/>
      <c r="I868" s="69"/>
      <c r="J868" s="69">
        <f t="shared" si="2"/>
        <v>0</v>
      </c>
      <c r="K868" s="71"/>
    </row>
    <row r="869" ht="17.25" customHeight="1">
      <c r="A869" s="61"/>
      <c r="B869" s="63" t="b">
        <v>0</v>
      </c>
      <c r="C869" s="64">
        <v>862.0</v>
      </c>
      <c r="D869" s="65"/>
      <c r="E869" s="185"/>
      <c r="F869" s="185"/>
      <c r="G869" s="69">
        <f>SUMPRODUCT(('⚙️Pengaturan'!$C$3:$C$100=$F869)*('⚙️Pengaturan'!$D$3:$D$100))</f>
        <v>0</v>
      </c>
      <c r="H869" s="70"/>
      <c r="I869" s="69"/>
      <c r="J869" s="69">
        <f t="shared" si="2"/>
        <v>0</v>
      </c>
      <c r="K869" s="71"/>
    </row>
    <row r="870" ht="17.25" customHeight="1">
      <c r="A870" s="61"/>
      <c r="B870" s="63" t="b">
        <v>0</v>
      </c>
      <c r="C870" s="64">
        <v>863.0</v>
      </c>
      <c r="D870" s="65"/>
      <c r="E870" s="185"/>
      <c r="F870" s="185"/>
      <c r="G870" s="69">
        <f>SUMPRODUCT(('⚙️Pengaturan'!$C$3:$C$100=$F870)*('⚙️Pengaturan'!$D$3:$D$100))</f>
        <v>0</v>
      </c>
      <c r="H870" s="70"/>
      <c r="I870" s="69"/>
      <c r="J870" s="69">
        <f t="shared" si="2"/>
        <v>0</v>
      </c>
      <c r="K870" s="71"/>
    </row>
    <row r="871" ht="17.25" customHeight="1">
      <c r="A871" s="61"/>
      <c r="B871" s="63" t="b">
        <v>0</v>
      </c>
      <c r="C871" s="64">
        <v>864.0</v>
      </c>
      <c r="D871" s="65"/>
      <c r="E871" s="185"/>
      <c r="F871" s="185"/>
      <c r="G871" s="69">
        <f>SUMPRODUCT(('⚙️Pengaturan'!$C$3:$C$100=$F871)*('⚙️Pengaturan'!$D$3:$D$100))</f>
        <v>0</v>
      </c>
      <c r="H871" s="70"/>
      <c r="I871" s="69"/>
      <c r="J871" s="69">
        <f t="shared" si="2"/>
        <v>0</v>
      </c>
      <c r="K871" s="71"/>
    </row>
    <row r="872" ht="17.25" customHeight="1">
      <c r="A872" s="61"/>
      <c r="B872" s="63" t="b">
        <v>0</v>
      </c>
      <c r="C872" s="64">
        <v>865.0</v>
      </c>
      <c r="D872" s="65"/>
      <c r="E872" s="185"/>
      <c r="F872" s="185"/>
      <c r="G872" s="69">
        <f>SUMPRODUCT(('⚙️Pengaturan'!$C$3:$C$100=$F872)*('⚙️Pengaturan'!$D$3:$D$100))</f>
        <v>0</v>
      </c>
      <c r="H872" s="70"/>
      <c r="I872" s="69"/>
      <c r="J872" s="69">
        <f t="shared" si="2"/>
        <v>0</v>
      </c>
      <c r="K872" s="71"/>
    </row>
    <row r="873" ht="17.25" customHeight="1">
      <c r="A873" s="61"/>
      <c r="B873" s="63" t="b">
        <v>0</v>
      </c>
      <c r="C873" s="64">
        <v>866.0</v>
      </c>
      <c r="D873" s="65"/>
      <c r="E873" s="185"/>
      <c r="F873" s="185"/>
      <c r="G873" s="69">
        <f>SUMPRODUCT(('⚙️Pengaturan'!$C$3:$C$100=$F873)*('⚙️Pengaturan'!$D$3:$D$100))</f>
        <v>0</v>
      </c>
      <c r="H873" s="70"/>
      <c r="I873" s="69"/>
      <c r="J873" s="69">
        <f t="shared" si="2"/>
        <v>0</v>
      </c>
      <c r="K873" s="71"/>
    </row>
    <row r="874" ht="17.25" customHeight="1">
      <c r="A874" s="61"/>
      <c r="B874" s="63" t="b">
        <v>0</v>
      </c>
      <c r="C874" s="64">
        <v>867.0</v>
      </c>
      <c r="D874" s="65"/>
      <c r="E874" s="185"/>
      <c r="F874" s="185"/>
      <c r="G874" s="69">
        <f>SUMPRODUCT(('⚙️Pengaturan'!$C$3:$C$100=$F874)*('⚙️Pengaturan'!$D$3:$D$100))</f>
        <v>0</v>
      </c>
      <c r="H874" s="70"/>
      <c r="I874" s="69"/>
      <c r="J874" s="69">
        <f t="shared" si="2"/>
        <v>0</v>
      </c>
      <c r="K874" s="71"/>
    </row>
    <row r="875" ht="17.25" customHeight="1">
      <c r="A875" s="61"/>
      <c r="B875" s="63" t="b">
        <v>0</v>
      </c>
      <c r="C875" s="64">
        <v>868.0</v>
      </c>
      <c r="D875" s="65"/>
      <c r="E875" s="185"/>
      <c r="F875" s="185"/>
      <c r="G875" s="69">
        <f>SUMPRODUCT(('⚙️Pengaturan'!$C$3:$C$100=$F875)*('⚙️Pengaturan'!$D$3:$D$100))</f>
        <v>0</v>
      </c>
      <c r="H875" s="70"/>
      <c r="I875" s="69"/>
      <c r="J875" s="69">
        <f t="shared" si="2"/>
        <v>0</v>
      </c>
      <c r="K875" s="71"/>
    </row>
    <row r="876" ht="17.25" customHeight="1">
      <c r="A876" s="61"/>
      <c r="B876" s="63" t="b">
        <v>0</v>
      </c>
      <c r="C876" s="64">
        <v>869.0</v>
      </c>
      <c r="D876" s="65"/>
      <c r="E876" s="185"/>
      <c r="F876" s="185"/>
      <c r="G876" s="69">
        <f>SUMPRODUCT(('⚙️Pengaturan'!$C$3:$C$100=$F876)*('⚙️Pengaturan'!$D$3:$D$100))</f>
        <v>0</v>
      </c>
      <c r="H876" s="70"/>
      <c r="I876" s="69"/>
      <c r="J876" s="69">
        <f t="shared" si="2"/>
        <v>0</v>
      </c>
      <c r="K876" s="71"/>
    </row>
    <row r="877" ht="17.25" customHeight="1">
      <c r="A877" s="61"/>
      <c r="B877" s="63" t="b">
        <v>0</v>
      </c>
      <c r="C877" s="64">
        <v>870.0</v>
      </c>
      <c r="D877" s="65"/>
      <c r="E877" s="185"/>
      <c r="F877" s="185"/>
      <c r="G877" s="69">
        <f>SUMPRODUCT(('⚙️Pengaturan'!$C$3:$C$100=$F877)*('⚙️Pengaturan'!$D$3:$D$100))</f>
        <v>0</v>
      </c>
      <c r="H877" s="70"/>
      <c r="I877" s="69"/>
      <c r="J877" s="69">
        <f t="shared" si="2"/>
        <v>0</v>
      </c>
      <c r="K877" s="71"/>
    </row>
    <row r="878" ht="17.25" customHeight="1">
      <c r="A878" s="61"/>
      <c r="B878" s="63" t="b">
        <v>0</v>
      </c>
      <c r="C878" s="64">
        <v>871.0</v>
      </c>
      <c r="D878" s="65"/>
      <c r="E878" s="185"/>
      <c r="F878" s="185"/>
      <c r="G878" s="69">
        <f>SUMPRODUCT(('⚙️Pengaturan'!$C$3:$C$100=$F878)*('⚙️Pengaturan'!$D$3:$D$100))</f>
        <v>0</v>
      </c>
      <c r="H878" s="70"/>
      <c r="I878" s="69"/>
      <c r="J878" s="69">
        <f t="shared" si="2"/>
        <v>0</v>
      </c>
      <c r="K878" s="71"/>
    </row>
    <row r="879" ht="17.25" customHeight="1">
      <c r="A879" s="61"/>
      <c r="B879" s="63" t="b">
        <v>0</v>
      </c>
      <c r="C879" s="64">
        <v>872.0</v>
      </c>
      <c r="D879" s="65"/>
      <c r="E879" s="185"/>
      <c r="F879" s="185"/>
      <c r="G879" s="69">
        <f>SUMPRODUCT(('⚙️Pengaturan'!$C$3:$C$100=$F879)*('⚙️Pengaturan'!$D$3:$D$100))</f>
        <v>0</v>
      </c>
      <c r="H879" s="70"/>
      <c r="I879" s="69"/>
      <c r="J879" s="69">
        <f t="shared" si="2"/>
        <v>0</v>
      </c>
      <c r="K879" s="71"/>
    </row>
    <row r="880" ht="17.25" customHeight="1">
      <c r="A880" s="61"/>
      <c r="B880" s="63" t="b">
        <v>0</v>
      </c>
      <c r="C880" s="64">
        <v>873.0</v>
      </c>
      <c r="D880" s="65"/>
      <c r="E880" s="185"/>
      <c r="F880" s="185"/>
      <c r="G880" s="69">
        <f>SUMPRODUCT(('⚙️Pengaturan'!$C$3:$C$100=$F880)*('⚙️Pengaturan'!$D$3:$D$100))</f>
        <v>0</v>
      </c>
      <c r="H880" s="70"/>
      <c r="I880" s="69"/>
      <c r="J880" s="69">
        <f t="shared" si="2"/>
        <v>0</v>
      </c>
      <c r="K880" s="71"/>
    </row>
    <row r="881" ht="17.25" customHeight="1">
      <c r="A881" s="61"/>
      <c r="B881" s="63" t="b">
        <v>0</v>
      </c>
      <c r="C881" s="64">
        <v>874.0</v>
      </c>
      <c r="D881" s="65"/>
      <c r="E881" s="185"/>
      <c r="F881" s="185"/>
      <c r="G881" s="69">
        <f>SUMPRODUCT(('⚙️Pengaturan'!$C$3:$C$100=$F881)*('⚙️Pengaturan'!$D$3:$D$100))</f>
        <v>0</v>
      </c>
      <c r="H881" s="70"/>
      <c r="I881" s="69"/>
      <c r="J881" s="69">
        <f t="shared" si="2"/>
        <v>0</v>
      </c>
      <c r="K881" s="71"/>
    </row>
    <row r="882" ht="17.25" customHeight="1">
      <c r="A882" s="61"/>
      <c r="B882" s="63" t="b">
        <v>0</v>
      </c>
      <c r="C882" s="64">
        <v>875.0</v>
      </c>
      <c r="D882" s="65"/>
      <c r="E882" s="185"/>
      <c r="F882" s="185"/>
      <c r="G882" s="69">
        <f>SUMPRODUCT(('⚙️Pengaturan'!$C$3:$C$100=$F882)*('⚙️Pengaturan'!$D$3:$D$100))</f>
        <v>0</v>
      </c>
      <c r="H882" s="70"/>
      <c r="I882" s="69"/>
      <c r="J882" s="69">
        <f t="shared" si="2"/>
        <v>0</v>
      </c>
      <c r="K882" s="71"/>
    </row>
    <row r="883" ht="17.25" customHeight="1">
      <c r="A883" s="61"/>
      <c r="B883" s="63" t="b">
        <v>0</v>
      </c>
      <c r="C883" s="64">
        <v>876.0</v>
      </c>
      <c r="D883" s="65"/>
      <c r="E883" s="185"/>
      <c r="F883" s="185"/>
      <c r="G883" s="69">
        <f>SUMPRODUCT(('⚙️Pengaturan'!$C$3:$C$100=$F883)*('⚙️Pengaturan'!$D$3:$D$100))</f>
        <v>0</v>
      </c>
      <c r="H883" s="70"/>
      <c r="I883" s="69"/>
      <c r="J883" s="69">
        <f t="shared" si="2"/>
        <v>0</v>
      </c>
      <c r="K883" s="71"/>
    </row>
    <row r="884" ht="17.25" customHeight="1">
      <c r="A884" s="61"/>
      <c r="B884" s="63" t="b">
        <v>0</v>
      </c>
      <c r="C884" s="64">
        <v>877.0</v>
      </c>
      <c r="D884" s="65"/>
      <c r="E884" s="185"/>
      <c r="F884" s="185"/>
      <c r="G884" s="69">
        <f>SUMPRODUCT(('⚙️Pengaturan'!$C$3:$C$100=$F884)*('⚙️Pengaturan'!$D$3:$D$100))</f>
        <v>0</v>
      </c>
      <c r="H884" s="70"/>
      <c r="I884" s="69"/>
      <c r="J884" s="69">
        <f t="shared" si="2"/>
        <v>0</v>
      </c>
      <c r="K884" s="71"/>
    </row>
    <row r="885" ht="17.25" customHeight="1">
      <c r="A885" s="61"/>
      <c r="B885" s="63" t="b">
        <v>0</v>
      </c>
      <c r="C885" s="64">
        <v>878.0</v>
      </c>
      <c r="D885" s="65"/>
      <c r="E885" s="185"/>
      <c r="F885" s="185"/>
      <c r="G885" s="69">
        <f>SUMPRODUCT(('⚙️Pengaturan'!$C$3:$C$100=$F885)*('⚙️Pengaturan'!$D$3:$D$100))</f>
        <v>0</v>
      </c>
      <c r="H885" s="70"/>
      <c r="I885" s="69"/>
      <c r="J885" s="69">
        <f t="shared" si="2"/>
        <v>0</v>
      </c>
      <c r="K885" s="71"/>
    </row>
    <row r="886" ht="17.25" customHeight="1">
      <c r="A886" s="61"/>
      <c r="B886" s="63" t="b">
        <v>0</v>
      </c>
      <c r="C886" s="64">
        <v>879.0</v>
      </c>
      <c r="D886" s="65"/>
      <c r="E886" s="185"/>
      <c r="F886" s="185"/>
      <c r="G886" s="69">
        <f>SUMPRODUCT(('⚙️Pengaturan'!$C$3:$C$100=$F886)*('⚙️Pengaturan'!$D$3:$D$100))</f>
        <v>0</v>
      </c>
      <c r="H886" s="70"/>
      <c r="I886" s="69"/>
      <c r="J886" s="69">
        <f t="shared" si="2"/>
        <v>0</v>
      </c>
      <c r="K886" s="71"/>
    </row>
    <row r="887" ht="17.25" customHeight="1">
      <c r="A887" s="61"/>
      <c r="B887" s="63" t="b">
        <v>0</v>
      </c>
      <c r="C887" s="64">
        <v>880.0</v>
      </c>
      <c r="D887" s="65"/>
      <c r="E887" s="185"/>
      <c r="F887" s="185"/>
      <c r="G887" s="69">
        <f>SUMPRODUCT(('⚙️Pengaturan'!$C$3:$C$100=$F887)*('⚙️Pengaturan'!$D$3:$D$100))</f>
        <v>0</v>
      </c>
      <c r="H887" s="70"/>
      <c r="I887" s="69"/>
      <c r="J887" s="69">
        <f t="shared" si="2"/>
        <v>0</v>
      </c>
      <c r="K887" s="71"/>
    </row>
    <row r="888" ht="17.25" customHeight="1">
      <c r="A888" s="61"/>
      <c r="B888" s="63" t="b">
        <v>0</v>
      </c>
      <c r="C888" s="64">
        <v>881.0</v>
      </c>
      <c r="D888" s="65"/>
      <c r="E888" s="185"/>
      <c r="F888" s="185"/>
      <c r="G888" s="69">
        <f>SUMPRODUCT(('⚙️Pengaturan'!$C$3:$C$100=$F888)*('⚙️Pengaturan'!$D$3:$D$100))</f>
        <v>0</v>
      </c>
      <c r="H888" s="70"/>
      <c r="I888" s="69"/>
      <c r="J888" s="69">
        <f t="shared" si="2"/>
        <v>0</v>
      </c>
      <c r="K888" s="71"/>
    </row>
    <row r="889" ht="17.25" customHeight="1">
      <c r="A889" s="61"/>
      <c r="B889" s="63" t="b">
        <v>0</v>
      </c>
      <c r="C889" s="64">
        <v>882.0</v>
      </c>
      <c r="D889" s="65"/>
      <c r="E889" s="185"/>
      <c r="F889" s="185"/>
      <c r="G889" s="69">
        <f>SUMPRODUCT(('⚙️Pengaturan'!$C$3:$C$100=$F889)*('⚙️Pengaturan'!$D$3:$D$100))</f>
        <v>0</v>
      </c>
      <c r="H889" s="70"/>
      <c r="I889" s="69"/>
      <c r="J889" s="69">
        <f t="shared" si="2"/>
        <v>0</v>
      </c>
      <c r="K889" s="71"/>
    </row>
    <row r="890" ht="17.25" customHeight="1">
      <c r="A890" s="61"/>
      <c r="B890" s="63" t="b">
        <v>0</v>
      </c>
      <c r="C890" s="64">
        <v>883.0</v>
      </c>
      <c r="D890" s="65"/>
      <c r="E890" s="185"/>
      <c r="F890" s="185"/>
      <c r="G890" s="69">
        <f>SUMPRODUCT(('⚙️Pengaturan'!$C$3:$C$100=$F890)*('⚙️Pengaturan'!$D$3:$D$100))</f>
        <v>0</v>
      </c>
      <c r="H890" s="70"/>
      <c r="I890" s="69"/>
      <c r="J890" s="69">
        <f t="shared" si="2"/>
        <v>0</v>
      </c>
      <c r="K890" s="71"/>
    </row>
    <row r="891" ht="17.25" customHeight="1">
      <c r="A891" s="61"/>
      <c r="B891" s="63" t="b">
        <v>0</v>
      </c>
      <c r="C891" s="64">
        <v>884.0</v>
      </c>
      <c r="D891" s="65"/>
      <c r="E891" s="185"/>
      <c r="F891" s="185"/>
      <c r="G891" s="69">
        <f>SUMPRODUCT(('⚙️Pengaturan'!$C$3:$C$100=$F891)*('⚙️Pengaturan'!$D$3:$D$100))</f>
        <v>0</v>
      </c>
      <c r="H891" s="70"/>
      <c r="I891" s="69"/>
      <c r="J891" s="69">
        <f t="shared" si="2"/>
        <v>0</v>
      </c>
      <c r="K891" s="71"/>
    </row>
    <row r="892" ht="17.25" customHeight="1">
      <c r="A892" s="61"/>
      <c r="B892" s="63" t="b">
        <v>0</v>
      </c>
      <c r="C892" s="64">
        <v>885.0</v>
      </c>
      <c r="D892" s="65"/>
      <c r="E892" s="185"/>
      <c r="F892" s="185"/>
      <c r="G892" s="69">
        <f>SUMPRODUCT(('⚙️Pengaturan'!$C$3:$C$100=$F892)*('⚙️Pengaturan'!$D$3:$D$100))</f>
        <v>0</v>
      </c>
      <c r="H892" s="70"/>
      <c r="I892" s="69"/>
      <c r="J892" s="69">
        <f t="shared" si="2"/>
        <v>0</v>
      </c>
      <c r="K892" s="71"/>
    </row>
    <row r="893" ht="17.25" customHeight="1">
      <c r="A893" s="61"/>
      <c r="B893" s="63" t="b">
        <v>0</v>
      </c>
      <c r="C893" s="64">
        <v>886.0</v>
      </c>
      <c r="D893" s="65"/>
      <c r="E893" s="185"/>
      <c r="F893" s="185"/>
      <c r="G893" s="69">
        <f>SUMPRODUCT(('⚙️Pengaturan'!$C$3:$C$100=$F893)*('⚙️Pengaturan'!$D$3:$D$100))</f>
        <v>0</v>
      </c>
      <c r="H893" s="70"/>
      <c r="I893" s="69"/>
      <c r="J893" s="69">
        <f t="shared" si="2"/>
        <v>0</v>
      </c>
      <c r="K893" s="71"/>
    </row>
    <row r="894" ht="17.25" customHeight="1">
      <c r="A894" s="61"/>
      <c r="B894" s="63" t="b">
        <v>0</v>
      </c>
      <c r="C894" s="64">
        <v>887.0</v>
      </c>
      <c r="D894" s="65"/>
      <c r="E894" s="185"/>
      <c r="F894" s="185"/>
      <c r="G894" s="69">
        <f>SUMPRODUCT(('⚙️Pengaturan'!$C$3:$C$100=$F894)*('⚙️Pengaturan'!$D$3:$D$100))</f>
        <v>0</v>
      </c>
      <c r="H894" s="70"/>
      <c r="I894" s="69"/>
      <c r="J894" s="69">
        <f t="shared" si="2"/>
        <v>0</v>
      </c>
      <c r="K894" s="71"/>
    </row>
    <row r="895" ht="17.25" customHeight="1">
      <c r="A895" s="61"/>
      <c r="B895" s="63" t="b">
        <v>0</v>
      </c>
      <c r="C895" s="64">
        <v>888.0</v>
      </c>
      <c r="D895" s="65"/>
      <c r="E895" s="185"/>
      <c r="F895" s="185"/>
      <c r="G895" s="69">
        <f>SUMPRODUCT(('⚙️Pengaturan'!$C$3:$C$100=$F895)*('⚙️Pengaturan'!$D$3:$D$100))</f>
        <v>0</v>
      </c>
      <c r="H895" s="70"/>
      <c r="I895" s="69"/>
      <c r="J895" s="69">
        <f t="shared" si="2"/>
        <v>0</v>
      </c>
      <c r="K895" s="71"/>
    </row>
    <row r="896" ht="17.25" customHeight="1">
      <c r="A896" s="61"/>
      <c r="B896" s="63" t="b">
        <v>0</v>
      </c>
      <c r="C896" s="64">
        <v>889.0</v>
      </c>
      <c r="D896" s="65"/>
      <c r="E896" s="185"/>
      <c r="F896" s="185"/>
      <c r="G896" s="69">
        <f>SUMPRODUCT(('⚙️Pengaturan'!$C$3:$C$100=$F896)*('⚙️Pengaturan'!$D$3:$D$100))</f>
        <v>0</v>
      </c>
      <c r="H896" s="70"/>
      <c r="I896" s="69"/>
      <c r="J896" s="69">
        <f t="shared" si="2"/>
        <v>0</v>
      </c>
      <c r="K896" s="71"/>
    </row>
    <row r="897" ht="17.25" customHeight="1">
      <c r="A897" s="61"/>
      <c r="B897" s="63" t="b">
        <v>0</v>
      </c>
      <c r="C897" s="64">
        <v>890.0</v>
      </c>
      <c r="D897" s="65"/>
      <c r="E897" s="185"/>
      <c r="F897" s="185"/>
      <c r="G897" s="69">
        <f>SUMPRODUCT(('⚙️Pengaturan'!$C$3:$C$100=$F897)*('⚙️Pengaturan'!$D$3:$D$100))</f>
        <v>0</v>
      </c>
      <c r="H897" s="70"/>
      <c r="I897" s="69"/>
      <c r="J897" s="69">
        <f t="shared" si="2"/>
        <v>0</v>
      </c>
      <c r="K897" s="71"/>
    </row>
    <row r="898" ht="17.25" customHeight="1">
      <c r="A898" s="61"/>
      <c r="B898" s="63" t="b">
        <v>0</v>
      </c>
      <c r="C898" s="64">
        <v>891.0</v>
      </c>
      <c r="D898" s="65"/>
      <c r="E898" s="185"/>
      <c r="F898" s="185"/>
      <c r="G898" s="69">
        <f>SUMPRODUCT(('⚙️Pengaturan'!$C$3:$C$100=$F898)*('⚙️Pengaturan'!$D$3:$D$100))</f>
        <v>0</v>
      </c>
      <c r="H898" s="70"/>
      <c r="I898" s="69"/>
      <c r="J898" s="69">
        <f t="shared" si="2"/>
        <v>0</v>
      </c>
      <c r="K898" s="71"/>
    </row>
    <row r="899" ht="17.25" customHeight="1">
      <c r="A899" s="61"/>
      <c r="B899" s="63" t="b">
        <v>0</v>
      </c>
      <c r="C899" s="64">
        <v>892.0</v>
      </c>
      <c r="D899" s="65"/>
      <c r="E899" s="185"/>
      <c r="F899" s="185"/>
      <c r="G899" s="69">
        <f>SUMPRODUCT(('⚙️Pengaturan'!$C$3:$C$100=$F899)*('⚙️Pengaturan'!$D$3:$D$100))</f>
        <v>0</v>
      </c>
      <c r="H899" s="70"/>
      <c r="I899" s="69"/>
      <c r="J899" s="69">
        <f t="shared" si="2"/>
        <v>0</v>
      </c>
      <c r="K899" s="71"/>
    </row>
    <row r="900" ht="17.25" customHeight="1">
      <c r="A900" s="61"/>
      <c r="B900" s="63" t="b">
        <v>0</v>
      </c>
      <c r="C900" s="64">
        <v>893.0</v>
      </c>
      <c r="D900" s="65"/>
      <c r="E900" s="185"/>
      <c r="F900" s="185"/>
      <c r="G900" s="69">
        <f>SUMPRODUCT(('⚙️Pengaturan'!$C$3:$C$100=$F900)*('⚙️Pengaturan'!$D$3:$D$100))</f>
        <v>0</v>
      </c>
      <c r="H900" s="70"/>
      <c r="I900" s="69"/>
      <c r="J900" s="69">
        <f t="shared" si="2"/>
        <v>0</v>
      </c>
      <c r="K900" s="71"/>
    </row>
    <row r="901" ht="17.25" customHeight="1">
      <c r="A901" s="61"/>
      <c r="B901" s="63" t="b">
        <v>0</v>
      </c>
      <c r="C901" s="64">
        <v>894.0</v>
      </c>
      <c r="D901" s="65"/>
      <c r="E901" s="185"/>
      <c r="F901" s="185"/>
      <c r="G901" s="69">
        <f>SUMPRODUCT(('⚙️Pengaturan'!$C$3:$C$100=$F901)*('⚙️Pengaturan'!$D$3:$D$100))</f>
        <v>0</v>
      </c>
      <c r="H901" s="70"/>
      <c r="I901" s="69"/>
      <c r="J901" s="69">
        <f t="shared" si="2"/>
        <v>0</v>
      </c>
      <c r="K901" s="71"/>
    </row>
    <row r="902" ht="17.25" customHeight="1">
      <c r="A902" s="61"/>
      <c r="B902" s="63" t="b">
        <v>0</v>
      </c>
      <c r="C902" s="64">
        <v>895.0</v>
      </c>
      <c r="D902" s="65"/>
      <c r="E902" s="185"/>
      <c r="F902" s="185"/>
      <c r="G902" s="69">
        <f>SUMPRODUCT(('⚙️Pengaturan'!$C$3:$C$100=$F902)*('⚙️Pengaturan'!$D$3:$D$100))</f>
        <v>0</v>
      </c>
      <c r="H902" s="70"/>
      <c r="I902" s="69"/>
      <c r="J902" s="69">
        <f t="shared" si="2"/>
        <v>0</v>
      </c>
      <c r="K902" s="71"/>
    </row>
    <row r="903" ht="17.25" customHeight="1">
      <c r="A903" s="61"/>
      <c r="B903" s="63" t="b">
        <v>0</v>
      </c>
      <c r="C903" s="64">
        <v>896.0</v>
      </c>
      <c r="D903" s="65"/>
      <c r="E903" s="185"/>
      <c r="F903" s="185"/>
      <c r="G903" s="69">
        <f>SUMPRODUCT(('⚙️Pengaturan'!$C$3:$C$100=$F903)*('⚙️Pengaturan'!$D$3:$D$100))</f>
        <v>0</v>
      </c>
      <c r="H903" s="70"/>
      <c r="I903" s="69"/>
      <c r="J903" s="69">
        <f t="shared" si="2"/>
        <v>0</v>
      </c>
      <c r="K903" s="71"/>
    </row>
    <row r="904" ht="17.25" customHeight="1">
      <c r="A904" s="61"/>
      <c r="B904" s="63" t="b">
        <v>0</v>
      </c>
      <c r="C904" s="64">
        <v>897.0</v>
      </c>
      <c r="D904" s="65"/>
      <c r="E904" s="185"/>
      <c r="F904" s="185"/>
      <c r="G904" s="69">
        <f>SUMPRODUCT(('⚙️Pengaturan'!$C$3:$C$100=$F904)*('⚙️Pengaturan'!$D$3:$D$100))</f>
        <v>0</v>
      </c>
      <c r="H904" s="70"/>
      <c r="I904" s="69"/>
      <c r="J904" s="69">
        <f t="shared" si="2"/>
        <v>0</v>
      </c>
      <c r="K904" s="71"/>
    </row>
    <row r="905" ht="17.25" customHeight="1">
      <c r="A905" s="61"/>
      <c r="B905" s="63" t="b">
        <v>0</v>
      </c>
      <c r="C905" s="64">
        <v>898.0</v>
      </c>
      <c r="D905" s="65"/>
      <c r="E905" s="185"/>
      <c r="F905" s="185"/>
      <c r="G905" s="69">
        <f>SUMPRODUCT(('⚙️Pengaturan'!$C$3:$C$100=$F905)*('⚙️Pengaturan'!$D$3:$D$100))</f>
        <v>0</v>
      </c>
      <c r="H905" s="70"/>
      <c r="I905" s="69"/>
      <c r="J905" s="69">
        <f t="shared" si="2"/>
        <v>0</v>
      </c>
      <c r="K905" s="71"/>
    </row>
    <row r="906" ht="17.25" customHeight="1">
      <c r="A906" s="61"/>
      <c r="B906" s="63" t="b">
        <v>0</v>
      </c>
      <c r="C906" s="64">
        <v>899.0</v>
      </c>
      <c r="D906" s="65"/>
      <c r="E906" s="185"/>
      <c r="F906" s="185"/>
      <c r="G906" s="69">
        <f>SUMPRODUCT(('⚙️Pengaturan'!$C$3:$C$100=$F906)*('⚙️Pengaturan'!$D$3:$D$100))</f>
        <v>0</v>
      </c>
      <c r="H906" s="70"/>
      <c r="I906" s="69"/>
      <c r="J906" s="69">
        <f t="shared" si="2"/>
        <v>0</v>
      </c>
      <c r="K906" s="71"/>
    </row>
    <row r="907" ht="17.25" customHeight="1">
      <c r="A907" s="61"/>
      <c r="B907" s="63" t="b">
        <v>0</v>
      </c>
      <c r="C907" s="64">
        <v>900.0</v>
      </c>
      <c r="D907" s="65"/>
      <c r="E907" s="185"/>
      <c r="F907" s="185"/>
      <c r="G907" s="69">
        <f>SUMPRODUCT(('⚙️Pengaturan'!$C$3:$C$100=$F907)*('⚙️Pengaturan'!$D$3:$D$100))</f>
        <v>0</v>
      </c>
      <c r="H907" s="70"/>
      <c r="I907" s="69"/>
      <c r="J907" s="69">
        <f t="shared" si="2"/>
        <v>0</v>
      </c>
      <c r="K907" s="71"/>
    </row>
    <row r="908" ht="17.25" customHeight="1">
      <c r="A908" s="61"/>
      <c r="B908" s="63" t="b">
        <v>0</v>
      </c>
      <c r="C908" s="64">
        <v>901.0</v>
      </c>
      <c r="D908" s="65"/>
      <c r="E908" s="185"/>
      <c r="F908" s="185"/>
      <c r="G908" s="69">
        <f>SUMPRODUCT(('⚙️Pengaturan'!$C$3:$C$100=$F908)*('⚙️Pengaturan'!$D$3:$D$100))</f>
        <v>0</v>
      </c>
      <c r="H908" s="70"/>
      <c r="I908" s="69"/>
      <c r="J908" s="69">
        <f t="shared" si="2"/>
        <v>0</v>
      </c>
      <c r="K908" s="71"/>
    </row>
    <row r="909" ht="17.25" customHeight="1">
      <c r="A909" s="61"/>
      <c r="B909" s="63" t="b">
        <v>0</v>
      </c>
      <c r="C909" s="64">
        <v>902.0</v>
      </c>
      <c r="D909" s="65"/>
      <c r="E909" s="185"/>
      <c r="F909" s="185"/>
      <c r="G909" s="69">
        <f>SUMPRODUCT(('⚙️Pengaturan'!$C$3:$C$100=$F909)*('⚙️Pengaturan'!$D$3:$D$100))</f>
        <v>0</v>
      </c>
      <c r="H909" s="70"/>
      <c r="I909" s="69"/>
      <c r="J909" s="69">
        <f t="shared" si="2"/>
        <v>0</v>
      </c>
      <c r="K909" s="71"/>
    </row>
    <row r="910" ht="17.25" customHeight="1">
      <c r="A910" s="61"/>
      <c r="B910" s="63" t="b">
        <v>0</v>
      </c>
      <c r="C910" s="64">
        <v>903.0</v>
      </c>
      <c r="D910" s="65"/>
      <c r="E910" s="185"/>
      <c r="F910" s="185"/>
      <c r="G910" s="69">
        <f>SUMPRODUCT(('⚙️Pengaturan'!$C$3:$C$100=$F910)*('⚙️Pengaturan'!$D$3:$D$100))</f>
        <v>0</v>
      </c>
      <c r="H910" s="70"/>
      <c r="I910" s="69"/>
      <c r="J910" s="69">
        <f t="shared" si="2"/>
        <v>0</v>
      </c>
      <c r="K910" s="71"/>
    </row>
    <row r="911" ht="17.25" customHeight="1">
      <c r="A911" s="61"/>
      <c r="B911" s="63" t="b">
        <v>0</v>
      </c>
      <c r="C911" s="64">
        <v>904.0</v>
      </c>
      <c r="D911" s="65"/>
      <c r="E911" s="185"/>
      <c r="F911" s="185"/>
      <c r="G911" s="69">
        <f>SUMPRODUCT(('⚙️Pengaturan'!$C$3:$C$100=$F911)*('⚙️Pengaturan'!$D$3:$D$100))</f>
        <v>0</v>
      </c>
      <c r="H911" s="70"/>
      <c r="I911" s="69"/>
      <c r="J911" s="69">
        <f t="shared" si="2"/>
        <v>0</v>
      </c>
      <c r="K911" s="71"/>
    </row>
    <row r="912" ht="17.25" customHeight="1">
      <c r="A912" s="61"/>
      <c r="B912" s="63" t="b">
        <v>0</v>
      </c>
      <c r="C912" s="64">
        <v>905.0</v>
      </c>
      <c r="D912" s="65"/>
      <c r="E912" s="185"/>
      <c r="F912" s="185"/>
      <c r="G912" s="69">
        <f>SUMPRODUCT(('⚙️Pengaturan'!$C$3:$C$100=$F912)*('⚙️Pengaturan'!$D$3:$D$100))</f>
        <v>0</v>
      </c>
      <c r="H912" s="70"/>
      <c r="I912" s="69"/>
      <c r="J912" s="69">
        <f t="shared" si="2"/>
        <v>0</v>
      </c>
      <c r="K912" s="71"/>
    </row>
    <row r="913" ht="17.25" customHeight="1">
      <c r="A913" s="61"/>
      <c r="B913" s="63" t="b">
        <v>0</v>
      </c>
      <c r="C913" s="64">
        <v>906.0</v>
      </c>
      <c r="D913" s="65"/>
      <c r="E913" s="185"/>
      <c r="F913" s="185"/>
      <c r="G913" s="69">
        <f>SUMPRODUCT(('⚙️Pengaturan'!$C$3:$C$100=$F913)*('⚙️Pengaturan'!$D$3:$D$100))</f>
        <v>0</v>
      </c>
      <c r="H913" s="70"/>
      <c r="I913" s="69"/>
      <c r="J913" s="69">
        <f t="shared" si="2"/>
        <v>0</v>
      </c>
      <c r="K913" s="71"/>
    </row>
    <row r="914" ht="17.25" customHeight="1">
      <c r="A914" s="61"/>
      <c r="B914" s="63" t="b">
        <v>0</v>
      </c>
      <c r="C914" s="64">
        <v>907.0</v>
      </c>
      <c r="D914" s="65"/>
      <c r="E914" s="185"/>
      <c r="F914" s="185"/>
      <c r="G914" s="69">
        <f>SUMPRODUCT(('⚙️Pengaturan'!$C$3:$C$100=$F914)*('⚙️Pengaturan'!$D$3:$D$100))</f>
        <v>0</v>
      </c>
      <c r="H914" s="70"/>
      <c r="I914" s="69"/>
      <c r="J914" s="69">
        <f t="shared" si="2"/>
        <v>0</v>
      </c>
      <c r="K914" s="71"/>
    </row>
    <row r="915" ht="17.25" customHeight="1">
      <c r="A915" s="61"/>
      <c r="B915" s="63" t="b">
        <v>0</v>
      </c>
      <c r="C915" s="64">
        <v>908.0</v>
      </c>
      <c r="D915" s="65"/>
      <c r="E915" s="185"/>
      <c r="F915" s="185"/>
      <c r="G915" s="69">
        <f>SUMPRODUCT(('⚙️Pengaturan'!$C$3:$C$100=$F915)*('⚙️Pengaturan'!$D$3:$D$100))</f>
        <v>0</v>
      </c>
      <c r="H915" s="70"/>
      <c r="I915" s="69"/>
      <c r="J915" s="69">
        <f t="shared" si="2"/>
        <v>0</v>
      </c>
      <c r="K915" s="71"/>
    </row>
    <row r="916" ht="17.25" customHeight="1">
      <c r="A916" s="61"/>
      <c r="B916" s="63" t="b">
        <v>0</v>
      </c>
      <c r="C916" s="64">
        <v>909.0</v>
      </c>
      <c r="D916" s="65"/>
      <c r="E916" s="185"/>
      <c r="F916" s="185"/>
      <c r="G916" s="69">
        <f>SUMPRODUCT(('⚙️Pengaturan'!$C$3:$C$100=$F916)*('⚙️Pengaturan'!$D$3:$D$100))</f>
        <v>0</v>
      </c>
      <c r="H916" s="70"/>
      <c r="I916" s="69"/>
      <c r="J916" s="69">
        <f t="shared" si="2"/>
        <v>0</v>
      </c>
      <c r="K916" s="71"/>
    </row>
    <row r="917" ht="17.25" customHeight="1">
      <c r="A917" s="61"/>
      <c r="B917" s="63" t="b">
        <v>0</v>
      </c>
      <c r="C917" s="64">
        <v>910.0</v>
      </c>
      <c r="D917" s="65"/>
      <c r="E917" s="185"/>
      <c r="F917" s="185"/>
      <c r="G917" s="69">
        <f>SUMPRODUCT(('⚙️Pengaturan'!$C$3:$C$100=$F917)*('⚙️Pengaturan'!$D$3:$D$100))</f>
        <v>0</v>
      </c>
      <c r="H917" s="70"/>
      <c r="I917" s="69"/>
      <c r="J917" s="69">
        <f t="shared" si="2"/>
        <v>0</v>
      </c>
      <c r="K917" s="71"/>
    </row>
    <row r="918" ht="17.25" customHeight="1">
      <c r="A918" s="61"/>
      <c r="B918" s="63" t="b">
        <v>0</v>
      </c>
      <c r="C918" s="64">
        <v>911.0</v>
      </c>
      <c r="D918" s="65"/>
      <c r="E918" s="185"/>
      <c r="F918" s="185"/>
      <c r="G918" s="69">
        <f>SUMPRODUCT(('⚙️Pengaturan'!$C$3:$C$100=$F918)*('⚙️Pengaturan'!$D$3:$D$100))</f>
        <v>0</v>
      </c>
      <c r="H918" s="70"/>
      <c r="I918" s="69"/>
      <c r="J918" s="69">
        <f t="shared" si="2"/>
        <v>0</v>
      </c>
      <c r="K918" s="71"/>
    </row>
    <row r="919" ht="17.25" customHeight="1">
      <c r="A919" s="61"/>
      <c r="B919" s="63" t="b">
        <v>0</v>
      </c>
      <c r="C919" s="64">
        <v>912.0</v>
      </c>
      <c r="D919" s="65"/>
      <c r="E919" s="185"/>
      <c r="F919" s="185"/>
      <c r="G919" s="69">
        <f>SUMPRODUCT(('⚙️Pengaturan'!$C$3:$C$100=$F919)*('⚙️Pengaturan'!$D$3:$D$100))</f>
        <v>0</v>
      </c>
      <c r="H919" s="70"/>
      <c r="I919" s="69"/>
      <c r="J919" s="69">
        <f t="shared" si="2"/>
        <v>0</v>
      </c>
      <c r="K919" s="71"/>
    </row>
    <row r="920" ht="17.25" customHeight="1">
      <c r="A920" s="61"/>
      <c r="B920" s="63" t="b">
        <v>0</v>
      </c>
      <c r="C920" s="64">
        <v>913.0</v>
      </c>
      <c r="D920" s="65"/>
      <c r="E920" s="185"/>
      <c r="F920" s="185"/>
      <c r="G920" s="69">
        <f>SUMPRODUCT(('⚙️Pengaturan'!$C$3:$C$100=$F920)*('⚙️Pengaturan'!$D$3:$D$100))</f>
        <v>0</v>
      </c>
      <c r="H920" s="70"/>
      <c r="I920" s="69"/>
      <c r="J920" s="69">
        <f t="shared" si="2"/>
        <v>0</v>
      </c>
      <c r="K920" s="71"/>
    </row>
    <row r="921" ht="17.25" customHeight="1">
      <c r="A921" s="61"/>
      <c r="B921" s="63" t="b">
        <v>0</v>
      </c>
      <c r="C921" s="64">
        <v>914.0</v>
      </c>
      <c r="D921" s="65"/>
      <c r="E921" s="185"/>
      <c r="F921" s="185"/>
      <c r="G921" s="69">
        <f>SUMPRODUCT(('⚙️Pengaturan'!$C$3:$C$100=$F921)*('⚙️Pengaturan'!$D$3:$D$100))</f>
        <v>0</v>
      </c>
      <c r="H921" s="70"/>
      <c r="I921" s="69"/>
      <c r="J921" s="69">
        <f t="shared" si="2"/>
        <v>0</v>
      </c>
      <c r="K921" s="71"/>
    </row>
    <row r="922" ht="17.25" customHeight="1">
      <c r="A922" s="61"/>
      <c r="B922" s="63" t="b">
        <v>0</v>
      </c>
      <c r="C922" s="64">
        <v>915.0</v>
      </c>
      <c r="D922" s="65"/>
      <c r="E922" s="185"/>
      <c r="F922" s="185"/>
      <c r="G922" s="69">
        <f>SUMPRODUCT(('⚙️Pengaturan'!$C$3:$C$100=$F922)*('⚙️Pengaturan'!$D$3:$D$100))</f>
        <v>0</v>
      </c>
      <c r="H922" s="70"/>
      <c r="I922" s="69"/>
      <c r="J922" s="69">
        <f t="shared" si="2"/>
        <v>0</v>
      </c>
      <c r="K922" s="71"/>
    </row>
    <row r="923" ht="17.25" customHeight="1">
      <c r="A923" s="61"/>
      <c r="B923" s="63" t="b">
        <v>0</v>
      </c>
      <c r="C923" s="64">
        <v>916.0</v>
      </c>
      <c r="D923" s="65"/>
      <c r="E923" s="185"/>
      <c r="F923" s="185"/>
      <c r="G923" s="69">
        <f>SUMPRODUCT(('⚙️Pengaturan'!$C$3:$C$100=$F923)*('⚙️Pengaturan'!$D$3:$D$100))</f>
        <v>0</v>
      </c>
      <c r="H923" s="70"/>
      <c r="I923" s="69"/>
      <c r="J923" s="69">
        <f t="shared" si="2"/>
        <v>0</v>
      </c>
      <c r="K923" s="71"/>
    </row>
    <row r="924" ht="17.25" customHeight="1">
      <c r="A924" s="61"/>
      <c r="B924" s="63" t="b">
        <v>0</v>
      </c>
      <c r="C924" s="64">
        <v>917.0</v>
      </c>
      <c r="D924" s="65"/>
      <c r="E924" s="185"/>
      <c r="F924" s="185"/>
      <c r="G924" s="69">
        <f>SUMPRODUCT(('⚙️Pengaturan'!$C$3:$C$100=$F924)*('⚙️Pengaturan'!$D$3:$D$100))</f>
        <v>0</v>
      </c>
      <c r="H924" s="70"/>
      <c r="I924" s="69"/>
      <c r="J924" s="69">
        <f t="shared" si="2"/>
        <v>0</v>
      </c>
      <c r="K924" s="71"/>
    </row>
    <row r="925" ht="17.25" customHeight="1">
      <c r="A925" s="61"/>
      <c r="B925" s="63" t="b">
        <v>0</v>
      </c>
      <c r="C925" s="64">
        <v>918.0</v>
      </c>
      <c r="D925" s="65"/>
      <c r="E925" s="185"/>
      <c r="F925" s="185"/>
      <c r="G925" s="69">
        <f>SUMPRODUCT(('⚙️Pengaturan'!$C$3:$C$100=$F925)*('⚙️Pengaturan'!$D$3:$D$100))</f>
        <v>0</v>
      </c>
      <c r="H925" s="70"/>
      <c r="I925" s="69"/>
      <c r="J925" s="69">
        <f t="shared" si="2"/>
        <v>0</v>
      </c>
      <c r="K925" s="71"/>
    </row>
    <row r="926" ht="17.25" customHeight="1">
      <c r="A926" s="61"/>
      <c r="B926" s="63" t="b">
        <v>0</v>
      </c>
      <c r="C926" s="64">
        <v>919.0</v>
      </c>
      <c r="D926" s="65"/>
      <c r="E926" s="185"/>
      <c r="F926" s="185"/>
      <c r="G926" s="69">
        <f>SUMPRODUCT(('⚙️Pengaturan'!$C$3:$C$100=$F926)*('⚙️Pengaturan'!$D$3:$D$100))</f>
        <v>0</v>
      </c>
      <c r="H926" s="70"/>
      <c r="I926" s="69"/>
      <c r="J926" s="69">
        <f t="shared" si="2"/>
        <v>0</v>
      </c>
      <c r="K926" s="71"/>
    </row>
    <row r="927" ht="17.25" customHeight="1">
      <c r="A927" s="61"/>
      <c r="B927" s="63" t="b">
        <v>0</v>
      </c>
      <c r="C927" s="64">
        <v>920.0</v>
      </c>
      <c r="D927" s="65"/>
      <c r="E927" s="185"/>
      <c r="F927" s="185"/>
      <c r="G927" s="69">
        <f>SUMPRODUCT(('⚙️Pengaturan'!$C$3:$C$100=$F927)*('⚙️Pengaturan'!$D$3:$D$100))</f>
        <v>0</v>
      </c>
      <c r="H927" s="70"/>
      <c r="I927" s="69"/>
      <c r="J927" s="69">
        <f t="shared" si="2"/>
        <v>0</v>
      </c>
      <c r="K927" s="71"/>
    </row>
    <row r="928" ht="17.25" customHeight="1">
      <c r="A928" s="61"/>
      <c r="B928" s="63" t="b">
        <v>0</v>
      </c>
      <c r="C928" s="64">
        <v>921.0</v>
      </c>
      <c r="D928" s="65"/>
      <c r="E928" s="185"/>
      <c r="F928" s="185"/>
      <c r="G928" s="69">
        <f>SUMPRODUCT(('⚙️Pengaturan'!$C$3:$C$100=$F928)*('⚙️Pengaturan'!$D$3:$D$100))</f>
        <v>0</v>
      </c>
      <c r="H928" s="70"/>
      <c r="I928" s="69"/>
      <c r="J928" s="69">
        <f t="shared" si="2"/>
        <v>0</v>
      </c>
      <c r="K928" s="71"/>
    </row>
    <row r="929" ht="17.25" customHeight="1">
      <c r="A929" s="61"/>
      <c r="B929" s="63" t="b">
        <v>0</v>
      </c>
      <c r="C929" s="64">
        <v>922.0</v>
      </c>
      <c r="D929" s="65"/>
      <c r="E929" s="185"/>
      <c r="F929" s="185"/>
      <c r="G929" s="69">
        <f>SUMPRODUCT(('⚙️Pengaturan'!$C$3:$C$100=$F929)*('⚙️Pengaturan'!$D$3:$D$100))</f>
        <v>0</v>
      </c>
      <c r="H929" s="70"/>
      <c r="I929" s="69"/>
      <c r="J929" s="69">
        <f t="shared" si="2"/>
        <v>0</v>
      </c>
      <c r="K929" s="71"/>
    </row>
    <row r="930" ht="17.25" customHeight="1">
      <c r="A930" s="61"/>
      <c r="B930" s="63" t="b">
        <v>0</v>
      </c>
      <c r="C930" s="64">
        <v>923.0</v>
      </c>
      <c r="D930" s="65"/>
      <c r="E930" s="185"/>
      <c r="F930" s="185"/>
      <c r="G930" s="69">
        <f>SUMPRODUCT(('⚙️Pengaturan'!$C$3:$C$100=$F930)*('⚙️Pengaturan'!$D$3:$D$100))</f>
        <v>0</v>
      </c>
      <c r="H930" s="70"/>
      <c r="I930" s="69"/>
      <c r="J930" s="69">
        <f t="shared" si="2"/>
        <v>0</v>
      </c>
      <c r="K930" s="71"/>
    </row>
    <row r="931" ht="17.25" customHeight="1">
      <c r="A931" s="61"/>
      <c r="B931" s="63" t="b">
        <v>0</v>
      </c>
      <c r="C931" s="64">
        <v>924.0</v>
      </c>
      <c r="D931" s="65"/>
      <c r="E931" s="185"/>
      <c r="F931" s="185"/>
      <c r="G931" s="69">
        <f>SUMPRODUCT(('⚙️Pengaturan'!$C$3:$C$100=$F931)*('⚙️Pengaturan'!$D$3:$D$100))</f>
        <v>0</v>
      </c>
      <c r="H931" s="70"/>
      <c r="I931" s="69"/>
      <c r="J931" s="69">
        <f t="shared" si="2"/>
        <v>0</v>
      </c>
      <c r="K931" s="71"/>
    </row>
    <row r="932" ht="17.25" customHeight="1">
      <c r="A932" s="61"/>
      <c r="B932" s="63" t="b">
        <v>0</v>
      </c>
      <c r="C932" s="64">
        <v>925.0</v>
      </c>
      <c r="D932" s="65"/>
      <c r="E932" s="185"/>
      <c r="F932" s="185"/>
      <c r="G932" s="69">
        <f>SUMPRODUCT(('⚙️Pengaturan'!$C$3:$C$100=$F932)*('⚙️Pengaturan'!$D$3:$D$100))</f>
        <v>0</v>
      </c>
      <c r="H932" s="70"/>
      <c r="I932" s="69"/>
      <c r="J932" s="69">
        <f t="shared" si="2"/>
        <v>0</v>
      </c>
      <c r="K932" s="71"/>
    </row>
    <row r="933" ht="17.25" customHeight="1">
      <c r="A933" s="61"/>
      <c r="B933" s="63" t="b">
        <v>0</v>
      </c>
      <c r="C933" s="64">
        <v>926.0</v>
      </c>
      <c r="D933" s="65"/>
      <c r="E933" s="185"/>
      <c r="F933" s="185"/>
      <c r="G933" s="69">
        <f>SUMPRODUCT(('⚙️Pengaturan'!$C$3:$C$100=$F933)*('⚙️Pengaturan'!$D$3:$D$100))</f>
        <v>0</v>
      </c>
      <c r="H933" s="70"/>
      <c r="I933" s="69"/>
      <c r="J933" s="69">
        <f t="shared" si="2"/>
        <v>0</v>
      </c>
      <c r="K933" s="71"/>
    </row>
    <row r="934" ht="17.25" customHeight="1">
      <c r="A934" s="61"/>
      <c r="B934" s="63" t="b">
        <v>0</v>
      </c>
      <c r="C934" s="64">
        <v>927.0</v>
      </c>
      <c r="D934" s="65"/>
      <c r="E934" s="185"/>
      <c r="F934" s="185"/>
      <c r="G934" s="69">
        <f>SUMPRODUCT(('⚙️Pengaturan'!$C$3:$C$100=$F934)*('⚙️Pengaturan'!$D$3:$D$100))</f>
        <v>0</v>
      </c>
      <c r="H934" s="70"/>
      <c r="I934" s="69"/>
      <c r="J934" s="69">
        <f t="shared" si="2"/>
        <v>0</v>
      </c>
      <c r="K934" s="71"/>
    </row>
    <row r="935" ht="17.25" customHeight="1">
      <c r="A935" s="61"/>
      <c r="B935" s="63" t="b">
        <v>0</v>
      </c>
      <c r="C935" s="64">
        <v>928.0</v>
      </c>
      <c r="D935" s="65"/>
      <c r="E935" s="185"/>
      <c r="F935" s="185"/>
      <c r="G935" s="69">
        <f>SUMPRODUCT(('⚙️Pengaturan'!$C$3:$C$100=$F935)*('⚙️Pengaturan'!$D$3:$D$100))</f>
        <v>0</v>
      </c>
      <c r="H935" s="70"/>
      <c r="I935" s="69"/>
      <c r="J935" s="69">
        <f t="shared" si="2"/>
        <v>0</v>
      </c>
      <c r="K935" s="71"/>
    </row>
    <row r="936" ht="17.25" customHeight="1">
      <c r="A936" s="61"/>
      <c r="B936" s="63" t="b">
        <v>0</v>
      </c>
      <c r="C936" s="64">
        <v>929.0</v>
      </c>
      <c r="D936" s="65"/>
      <c r="E936" s="185"/>
      <c r="F936" s="185"/>
      <c r="G936" s="69">
        <f>SUMPRODUCT(('⚙️Pengaturan'!$C$3:$C$100=$F936)*('⚙️Pengaturan'!$D$3:$D$100))</f>
        <v>0</v>
      </c>
      <c r="H936" s="70"/>
      <c r="I936" s="69"/>
      <c r="J936" s="69">
        <f t="shared" si="2"/>
        <v>0</v>
      </c>
      <c r="K936" s="71"/>
    </row>
    <row r="937" ht="17.25" customHeight="1">
      <c r="A937" s="61"/>
      <c r="B937" s="63" t="b">
        <v>0</v>
      </c>
      <c r="C937" s="64">
        <v>930.0</v>
      </c>
      <c r="D937" s="65"/>
      <c r="E937" s="185"/>
      <c r="F937" s="185"/>
      <c r="G937" s="69">
        <f>SUMPRODUCT(('⚙️Pengaturan'!$C$3:$C$100=$F937)*('⚙️Pengaturan'!$D$3:$D$100))</f>
        <v>0</v>
      </c>
      <c r="H937" s="70"/>
      <c r="I937" s="69"/>
      <c r="J937" s="69">
        <f t="shared" si="2"/>
        <v>0</v>
      </c>
      <c r="K937" s="71"/>
    </row>
    <row r="938" ht="17.25" customHeight="1">
      <c r="A938" s="61"/>
      <c r="B938" s="63" t="b">
        <v>0</v>
      </c>
      <c r="C938" s="64">
        <v>931.0</v>
      </c>
      <c r="D938" s="65"/>
      <c r="E938" s="185"/>
      <c r="F938" s="185"/>
      <c r="G938" s="69">
        <f>SUMPRODUCT(('⚙️Pengaturan'!$C$3:$C$100=$F938)*('⚙️Pengaturan'!$D$3:$D$100))</f>
        <v>0</v>
      </c>
      <c r="H938" s="70"/>
      <c r="I938" s="69"/>
      <c r="J938" s="69">
        <f t="shared" si="2"/>
        <v>0</v>
      </c>
      <c r="K938" s="71"/>
    </row>
    <row r="939" ht="17.25" customHeight="1">
      <c r="A939" s="61"/>
      <c r="B939" s="63" t="b">
        <v>0</v>
      </c>
      <c r="C939" s="64">
        <v>932.0</v>
      </c>
      <c r="D939" s="65"/>
      <c r="E939" s="185"/>
      <c r="F939" s="185"/>
      <c r="G939" s="69">
        <f>SUMPRODUCT(('⚙️Pengaturan'!$C$3:$C$100=$F939)*('⚙️Pengaturan'!$D$3:$D$100))</f>
        <v>0</v>
      </c>
      <c r="H939" s="70"/>
      <c r="I939" s="69"/>
      <c r="J939" s="69">
        <f t="shared" si="2"/>
        <v>0</v>
      </c>
      <c r="K939" s="71"/>
    </row>
    <row r="940" ht="17.25" customHeight="1">
      <c r="A940" s="61"/>
      <c r="B940" s="63" t="b">
        <v>0</v>
      </c>
      <c r="C940" s="64">
        <v>933.0</v>
      </c>
      <c r="D940" s="65"/>
      <c r="E940" s="185"/>
      <c r="F940" s="185"/>
      <c r="G940" s="69">
        <f>SUMPRODUCT(('⚙️Pengaturan'!$C$3:$C$100=$F940)*('⚙️Pengaturan'!$D$3:$D$100))</f>
        <v>0</v>
      </c>
      <c r="H940" s="70"/>
      <c r="I940" s="69"/>
      <c r="J940" s="69">
        <f t="shared" si="2"/>
        <v>0</v>
      </c>
      <c r="K940" s="71"/>
    </row>
    <row r="941" ht="17.25" customHeight="1">
      <c r="A941" s="61"/>
      <c r="B941" s="63" t="b">
        <v>0</v>
      </c>
      <c r="C941" s="64">
        <v>934.0</v>
      </c>
      <c r="D941" s="65"/>
      <c r="E941" s="185"/>
      <c r="F941" s="185"/>
      <c r="G941" s="69">
        <f>SUMPRODUCT(('⚙️Pengaturan'!$C$3:$C$100=$F941)*('⚙️Pengaturan'!$D$3:$D$100))</f>
        <v>0</v>
      </c>
      <c r="H941" s="70"/>
      <c r="I941" s="69"/>
      <c r="J941" s="69">
        <f t="shared" si="2"/>
        <v>0</v>
      </c>
      <c r="K941" s="71"/>
    </row>
    <row r="942" ht="17.25" customHeight="1">
      <c r="A942" s="61"/>
      <c r="B942" s="63" t="b">
        <v>0</v>
      </c>
      <c r="C942" s="64">
        <v>935.0</v>
      </c>
      <c r="D942" s="65"/>
      <c r="E942" s="185"/>
      <c r="F942" s="185"/>
      <c r="G942" s="69">
        <f>SUMPRODUCT(('⚙️Pengaturan'!$C$3:$C$100=$F942)*('⚙️Pengaturan'!$D$3:$D$100))</f>
        <v>0</v>
      </c>
      <c r="H942" s="70"/>
      <c r="I942" s="69"/>
      <c r="J942" s="69">
        <f t="shared" si="2"/>
        <v>0</v>
      </c>
      <c r="K942" s="71"/>
    </row>
    <row r="943" ht="17.25" customHeight="1">
      <c r="A943" s="61"/>
      <c r="B943" s="63" t="b">
        <v>0</v>
      </c>
      <c r="C943" s="64">
        <v>936.0</v>
      </c>
      <c r="D943" s="65"/>
      <c r="E943" s="185"/>
      <c r="F943" s="185"/>
      <c r="G943" s="69">
        <f>SUMPRODUCT(('⚙️Pengaturan'!$C$3:$C$100=$F943)*('⚙️Pengaturan'!$D$3:$D$100))</f>
        <v>0</v>
      </c>
      <c r="H943" s="70"/>
      <c r="I943" s="69"/>
      <c r="J943" s="69">
        <f t="shared" si="2"/>
        <v>0</v>
      </c>
      <c r="K943" s="71"/>
    </row>
    <row r="944" ht="17.25" customHeight="1">
      <c r="A944" s="61"/>
      <c r="B944" s="63" t="b">
        <v>0</v>
      </c>
      <c r="C944" s="64">
        <v>937.0</v>
      </c>
      <c r="D944" s="65"/>
      <c r="E944" s="185"/>
      <c r="F944" s="185"/>
      <c r="G944" s="69">
        <f>SUMPRODUCT(('⚙️Pengaturan'!$C$3:$C$100=$F944)*('⚙️Pengaturan'!$D$3:$D$100))</f>
        <v>0</v>
      </c>
      <c r="H944" s="70"/>
      <c r="I944" s="69"/>
      <c r="J944" s="69">
        <f t="shared" si="2"/>
        <v>0</v>
      </c>
      <c r="K944" s="71"/>
    </row>
    <row r="945" ht="17.25" customHeight="1">
      <c r="A945" s="61"/>
      <c r="B945" s="63" t="b">
        <v>0</v>
      </c>
      <c r="C945" s="64">
        <v>938.0</v>
      </c>
      <c r="D945" s="65"/>
      <c r="E945" s="185"/>
      <c r="F945" s="185"/>
      <c r="G945" s="69">
        <f>SUMPRODUCT(('⚙️Pengaturan'!$C$3:$C$100=$F945)*('⚙️Pengaturan'!$D$3:$D$100))</f>
        <v>0</v>
      </c>
      <c r="H945" s="70"/>
      <c r="I945" s="69"/>
      <c r="J945" s="69">
        <f t="shared" si="2"/>
        <v>0</v>
      </c>
      <c r="K945" s="71"/>
    </row>
    <row r="946" ht="17.25" customHeight="1">
      <c r="A946" s="61"/>
      <c r="B946" s="63" t="b">
        <v>0</v>
      </c>
      <c r="C946" s="64">
        <v>939.0</v>
      </c>
      <c r="D946" s="65"/>
      <c r="E946" s="185"/>
      <c r="F946" s="185"/>
      <c r="G946" s="69">
        <f>SUMPRODUCT(('⚙️Pengaturan'!$C$3:$C$100=$F946)*('⚙️Pengaturan'!$D$3:$D$100))</f>
        <v>0</v>
      </c>
      <c r="H946" s="70"/>
      <c r="I946" s="69"/>
      <c r="J946" s="69">
        <f t="shared" si="2"/>
        <v>0</v>
      </c>
      <c r="K946" s="71"/>
    </row>
    <row r="947" ht="17.25" customHeight="1">
      <c r="A947" s="61"/>
      <c r="B947" s="63" t="b">
        <v>0</v>
      </c>
      <c r="C947" s="64">
        <v>940.0</v>
      </c>
      <c r="D947" s="65"/>
      <c r="E947" s="185"/>
      <c r="F947" s="185"/>
      <c r="G947" s="69">
        <f>SUMPRODUCT(('⚙️Pengaturan'!$C$3:$C$100=$F947)*('⚙️Pengaturan'!$D$3:$D$100))</f>
        <v>0</v>
      </c>
      <c r="H947" s="70"/>
      <c r="I947" s="69"/>
      <c r="J947" s="69">
        <f t="shared" si="2"/>
        <v>0</v>
      </c>
      <c r="K947" s="71"/>
    </row>
    <row r="948" ht="17.25" customHeight="1">
      <c r="A948" s="61"/>
      <c r="B948" s="63" t="b">
        <v>0</v>
      </c>
      <c r="C948" s="64">
        <v>941.0</v>
      </c>
      <c r="D948" s="65"/>
      <c r="E948" s="185"/>
      <c r="F948" s="185"/>
      <c r="G948" s="69">
        <f>SUMPRODUCT(('⚙️Pengaturan'!$C$3:$C$100=$F948)*('⚙️Pengaturan'!$D$3:$D$100))</f>
        <v>0</v>
      </c>
      <c r="H948" s="70"/>
      <c r="I948" s="69"/>
      <c r="J948" s="69">
        <f t="shared" si="2"/>
        <v>0</v>
      </c>
      <c r="K948" s="71"/>
    </row>
    <row r="949" ht="17.25" customHeight="1">
      <c r="A949" s="61"/>
      <c r="B949" s="63" t="b">
        <v>0</v>
      </c>
      <c r="C949" s="64">
        <v>942.0</v>
      </c>
      <c r="D949" s="65"/>
      <c r="E949" s="185"/>
      <c r="F949" s="185"/>
      <c r="G949" s="69">
        <f>SUMPRODUCT(('⚙️Pengaturan'!$C$3:$C$100=$F949)*('⚙️Pengaturan'!$D$3:$D$100))</f>
        <v>0</v>
      </c>
      <c r="H949" s="70"/>
      <c r="I949" s="69"/>
      <c r="J949" s="69">
        <f t="shared" si="2"/>
        <v>0</v>
      </c>
      <c r="K949" s="71"/>
    </row>
    <row r="950" ht="17.25" customHeight="1">
      <c r="A950" s="61"/>
      <c r="B950" s="63" t="b">
        <v>0</v>
      </c>
      <c r="C950" s="64">
        <v>943.0</v>
      </c>
      <c r="D950" s="65"/>
      <c r="E950" s="185"/>
      <c r="F950" s="185"/>
      <c r="G950" s="69">
        <f>SUMPRODUCT(('⚙️Pengaturan'!$C$3:$C$100=$F950)*('⚙️Pengaturan'!$D$3:$D$100))</f>
        <v>0</v>
      </c>
      <c r="H950" s="70"/>
      <c r="I950" s="69"/>
      <c r="J950" s="69">
        <f t="shared" si="2"/>
        <v>0</v>
      </c>
      <c r="K950" s="71"/>
    </row>
    <row r="951" ht="17.25" customHeight="1">
      <c r="A951" s="61"/>
      <c r="B951" s="63" t="b">
        <v>0</v>
      </c>
      <c r="C951" s="64">
        <v>944.0</v>
      </c>
      <c r="D951" s="65"/>
      <c r="E951" s="185"/>
      <c r="F951" s="185"/>
      <c r="G951" s="69">
        <f>SUMPRODUCT(('⚙️Pengaturan'!$C$3:$C$100=$F951)*('⚙️Pengaturan'!$D$3:$D$100))</f>
        <v>0</v>
      </c>
      <c r="H951" s="70"/>
      <c r="I951" s="69"/>
      <c r="J951" s="69">
        <f t="shared" si="2"/>
        <v>0</v>
      </c>
      <c r="K951" s="71"/>
    </row>
    <row r="952" ht="17.25" customHeight="1">
      <c r="A952" s="61"/>
      <c r="B952" s="63" t="b">
        <v>0</v>
      </c>
      <c r="C952" s="64">
        <v>945.0</v>
      </c>
      <c r="D952" s="65"/>
      <c r="E952" s="185"/>
      <c r="F952" s="185"/>
      <c r="G952" s="69">
        <f>SUMPRODUCT(('⚙️Pengaturan'!$C$3:$C$100=$F952)*('⚙️Pengaturan'!$D$3:$D$100))</f>
        <v>0</v>
      </c>
      <c r="H952" s="70"/>
      <c r="I952" s="69"/>
      <c r="J952" s="69">
        <f t="shared" si="2"/>
        <v>0</v>
      </c>
      <c r="K952" s="71"/>
    </row>
    <row r="953" ht="17.25" customHeight="1">
      <c r="A953" s="61"/>
      <c r="B953" s="63" t="b">
        <v>0</v>
      </c>
      <c r="C953" s="64">
        <v>946.0</v>
      </c>
      <c r="D953" s="65"/>
      <c r="E953" s="185"/>
      <c r="F953" s="185"/>
      <c r="G953" s="69">
        <f>SUMPRODUCT(('⚙️Pengaturan'!$C$3:$C$100=$F953)*('⚙️Pengaturan'!$D$3:$D$100))</f>
        <v>0</v>
      </c>
      <c r="H953" s="70"/>
      <c r="I953" s="69"/>
      <c r="J953" s="69">
        <f t="shared" si="2"/>
        <v>0</v>
      </c>
      <c r="K953" s="71"/>
    </row>
    <row r="954" ht="17.25" customHeight="1">
      <c r="A954" s="61"/>
      <c r="B954" s="63" t="b">
        <v>0</v>
      </c>
      <c r="C954" s="64">
        <v>947.0</v>
      </c>
      <c r="D954" s="65"/>
      <c r="E954" s="185"/>
      <c r="F954" s="185"/>
      <c r="G954" s="69">
        <f>SUMPRODUCT(('⚙️Pengaturan'!$C$3:$C$100=$F954)*('⚙️Pengaturan'!$D$3:$D$100))</f>
        <v>0</v>
      </c>
      <c r="H954" s="70"/>
      <c r="I954" s="69"/>
      <c r="J954" s="69">
        <f t="shared" si="2"/>
        <v>0</v>
      </c>
      <c r="K954" s="71"/>
    </row>
    <row r="955" ht="17.25" customHeight="1">
      <c r="A955" s="61"/>
      <c r="B955" s="63" t="b">
        <v>0</v>
      </c>
      <c r="C955" s="64">
        <v>948.0</v>
      </c>
      <c r="D955" s="65"/>
      <c r="E955" s="185"/>
      <c r="F955" s="185"/>
      <c r="G955" s="69">
        <f>SUMPRODUCT(('⚙️Pengaturan'!$C$3:$C$100=$F955)*('⚙️Pengaturan'!$D$3:$D$100))</f>
        <v>0</v>
      </c>
      <c r="H955" s="70"/>
      <c r="I955" s="69"/>
      <c r="J955" s="69">
        <f t="shared" si="2"/>
        <v>0</v>
      </c>
      <c r="K955" s="71"/>
    </row>
    <row r="956" ht="17.25" customHeight="1">
      <c r="A956" s="61"/>
      <c r="B956" s="63" t="b">
        <v>0</v>
      </c>
      <c r="C956" s="64">
        <v>949.0</v>
      </c>
      <c r="D956" s="65"/>
      <c r="E956" s="185"/>
      <c r="F956" s="185"/>
      <c r="G956" s="69">
        <f>SUMPRODUCT(('⚙️Pengaturan'!$C$3:$C$100=$F956)*('⚙️Pengaturan'!$D$3:$D$100))</f>
        <v>0</v>
      </c>
      <c r="H956" s="70"/>
      <c r="I956" s="69"/>
      <c r="J956" s="69">
        <f t="shared" si="2"/>
        <v>0</v>
      </c>
      <c r="K956" s="71"/>
    </row>
    <row r="957" ht="17.25" customHeight="1">
      <c r="A957" s="61"/>
      <c r="B957" s="63" t="b">
        <v>0</v>
      </c>
      <c r="C957" s="64">
        <v>950.0</v>
      </c>
      <c r="D957" s="65"/>
      <c r="E957" s="185"/>
      <c r="F957" s="185"/>
      <c r="G957" s="69">
        <f>SUMPRODUCT(('⚙️Pengaturan'!$C$3:$C$100=$F957)*('⚙️Pengaturan'!$D$3:$D$100))</f>
        <v>0</v>
      </c>
      <c r="H957" s="70"/>
      <c r="I957" s="69"/>
      <c r="J957" s="69">
        <f t="shared" si="2"/>
        <v>0</v>
      </c>
      <c r="K957" s="71"/>
    </row>
    <row r="958" ht="17.25" customHeight="1">
      <c r="A958" s="61"/>
      <c r="B958" s="63" t="b">
        <v>0</v>
      </c>
      <c r="C958" s="64">
        <v>951.0</v>
      </c>
      <c r="D958" s="65"/>
      <c r="E958" s="185"/>
      <c r="F958" s="185"/>
      <c r="G958" s="69">
        <f>SUMPRODUCT(('⚙️Pengaturan'!$C$3:$C$100=$F958)*('⚙️Pengaturan'!$D$3:$D$100))</f>
        <v>0</v>
      </c>
      <c r="H958" s="70"/>
      <c r="I958" s="69"/>
      <c r="J958" s="69">
        <f t="shared" si="2"/>
        <v>0</v>
      </c>
      <c r="K958" s="71"/>
    </row>
    <row r="959" ht="17.25" customHeight="1">
      <c r="A959" s="61"/>
      <c r="B959" s="63" t="b">
        <v>0</v>
      </c>
      <c r="C959" s="64">
        <v>952.0</v>
      </c>
      <c r="D959" s="65"/>
      <c r="E959" s="185"/>
      <c r="F959" s="185"/>
      <c r="G959" s="69">
        <f>SUMPRODUCT(('⚙️Pengaturan'!$C$3:$C$100=$F959)*('⚙️Pengaturan'!$D$3:$D$100))</f>
        <v>0</v>
      </c>
      <c r="H959" s="70"/>
      <c r="I959" s="69"/>
      <c r="J959" s="69">
        <f t="shared" si="2"/>
        <v>0</v>
      </c>
      <c r="K959" s="71"/>
    </row>
    <row r="960" ht="17.25" customHeight="1">
      <c r="A960" s="61"/>
      <c r="B960" s="63" t="b">
        <v>0</v>
      </c>
      <c r="C960" s="64">
        <v>953.0</v>
      </c>
      <c r="D960" s="65"/>
      <c r="E960" s="185"/>
      <c r="F960" s="185"/>
      <c r="G960" s="69">
        <f>SUMPRODUCT(('⚙️Pengaturan'!$C$3:$C$100=$F960)*('⚙️Pengaturan'!$D$3:$D$100))</f>
        <v>0</v>
      </c>
      <c r="H960" s="70"/>
      <c r="I960" s="69"/>
      <c r="J960" s="69">
        <f t="shared" si="2"/>
        <v>0</v>
      </c>
      <c r="K960" s="71"/>
    </row>
    <row r="961" ht="17.25" customHeight="1">
      <c r="A961" s="61"/>
      <c r="B961" s="63" t="b">
        <v>0</v>
      </c>
      <c r="C961" s="64">
        <v>954.0</v>
      </c>
      <c r="D961" s="65"/>
      <c r="E961" s="185"/>
      <c r="F961" s="185"/>
      <c r="G961" s="69">
        <f>SUMPRODUCT(('⚙️Pengaturan'!$C$3:$C$100=$F961)*('⚙️Pengaturan'!$D$3:$D$100))</f>
        <v>0</v>
      </c>
      <c r="H961" s="70"/>
      <c r="I961" s="69"/>
      <c r="J961" s="69">
        <f t="shared" si="2"/>
        <v>0</v>
      </c>
      <c r="K961" s="71"/>
    </row>
    <row r="962" ht="17.25" customHeight="1">
      <c r="A962" s="61"/>
      <c r="B962" s="63" t="b">
        <v>0</v>
      </c>
      <c r="C962" s="64">
        <v>955.0</v>
      </c>
      <c r="D962" s="65"/>
      <c r="E962" s="185"/>
      <c r="F962" s="185"/>
      <c r="G962" s="69">
        <f>SUMPRODUCT(('⚙️Pengaturan'!$C$3:$C$100=$F962)*('⚙️Pengaturan'!$D$3:$D$100))</f>
        <v>0</v>
      </c>
      <c r="H962" s="70"/>
      <c r="I962" s="69"/>
      <c r="J962" s="69">
        <f t="shared" si="2"/>
        <v>0</v>
      </c>
      <c r="K962" s="71"/>
    </row>
    <row r="963" ht="17.25" customHeight="1">
      <c r="A963" s="61"/>
      <c r="B963" s="63" t="b">
        <v>0</v>
      </c>
      <c r="C963" s="64">
        <v>956.0</v>
      </c>
      <c r="D963" s="65"/>
      <c r="E963" s="185"/>
      <c r="F963" s="185"/>
      <c r="G963" s="69">
        <f>SUMPRODUCT(('⚙️Pengaturan'!$C$3:$C$100=$F963)*('⚙️Pengaturan'!$D$3:$D$100))</f>
        <v>0</v>
      </c>
      <c r="H963" s="70"/>
      <c r="I963" s="69"/>
      <c r="J963" s="69">
        <f t="shared" si="2"/>
        <v>0</v>
      </c>
      <c r="K963" s="71"/>
    </row>
    <row r="964" ht="17.25" customHeight="1">
      <c r="A964" s="61"/>
      <c r="B964" s="63" t="b">
        <v>0</v>
      </c>
      <c r="C964" s="64">
        <v>957.0</v>
      </c>
      <c r="D964" s="65"/>
      <c r="E964" s="185"/>
      <c r="F964" s="185"/>
      <c r="G964" s="69">
        <f>SUMPRODUCT(('⚙️Pengaturan'!$C$3:$C$100=$F964)*('⚙️Pengaturan'!$D$3:$D$100))</f>
        <v>0</v>
      </c>
      <c r="H964" s="70"/>
      <c r="I964" s="69"/>
      <c r="J964" s="69">
        <f t="shared" si="2"/>
        <v>0</v>
      </c>
      <c r="K964" s="71"/>
    </row>
    <row r="965" ht="17.25" customHeight="1">
      <c r="A965" s="61"/>
      <c r="B965" s="63" t="b">
        <v>0</v>
      </c>
      <c r="C965" s="64">
        <v>958.0</v>
      </c>
      <c r="D965" s="65"/>
      <c r="E965" s="185"/>
      <c r="F965" s="185"/>
      <c r="G965" s="69">
        <f>SUMPRODUCT(('⚙️Pengaturan'!$C$3:$C$100=$F965)*('⚙️Pengaturan'!$D$3:$D$100))</f>
        <v>0</v>
      </c>
      <c r="H965" s="70"/>
      <c r="I965" s="69"/>
      <c r="J965" s="69">
        <f t="shared" si="2"/>
        <v>0</v>
      </c>
      <c r="K965" s="71"/>
    </row>
    <row r="966" ht="17.25" customHeight="1">
      <c r="A966" s="61"/>
      <c r="B966" s="63" t="b">
        <v>0</v>
      </c>
      <c r="C966" s="64">
        <v>959.0</v>
      </c>
      <c r="D966" s="65"/>
      <c r="E966" s="185"/>
      <c r="F966" s="185"/>
      <c r="G966" s="69">
        <f>SUMPRODUCT(('⚙️Pengaturan'!$C$3:$C$100=$F966)*('⚙️Pengaturan'!$D$3:$D$100))</f>
        <v>0</v>
      </c>
      <c r="H966" s="70"/>
      <c r="I966" s="69"/>
      <c r="J966" s="69">
        <f t="shared" si="2"/>
        <v>0</v>
      </c>
      <c r="K966" s="71"/>
    </row>
    <row r="967" ht="17.25" customHeight="1">
      <c r="A967" s="61"/>
      <c r="B967" s="63" t="b">
        <v>0</v>
      </c>
      <c r="C967" s="64">
        <v>960.0</v>
      </c>
      <c r="D967" s="65"/>
      <c r="E967" s="185"/>
      <c r="F967" s="185"/>
      <c r="G967" s="69">
        <f>SUMPRODUCT(('⚙️Pengaturan'!$C$3:$C$100=$F967)*('⚙️Pengaturan'!$D$3:$D$100))</f>
        <v>0</v>
      </c>
      <c r="H967" s="70"/>
      <c r="I967" s="69"/>
      <c r="J967" s="69">
        <f t="shared" si="2"/>
        <v>0</v>
      </c>
      <c r="K967" s="71"/>
    </row>
    <row r="968" ht="17.25" customHeight="1">
      <c r="A968" s="61"/>
      <c r="B968" s="63" t="b">
        <v>0</v>
      </c>
      <c r="C968" s="64">
        <v>961.0</v>
      </c>
      <c r="D968" s="65"/>
      <c r="E968" s="185"/>
      <c r="F968" s="185"/>
      <c r="G968" s="69">
        <f>SUMPRODUCT(('⚙️Pengaturan'!$C$3:$C$100=$F968)*('⚙️Pengaturan'!$D$3:$D$100))</f>
        <v>0</v>
      </c>
      <c r="H968" s="70"/>
      <c r="I968" s="69"/>
      <c r="J968" s="69">
        <f t="shared" si="2"/>
        <v>0</v>
      </c>
      <c r="K968" s="71"/>
    </row>
    <row r="969" ht="17.25" customHeight="1">
      <c r="A969" s="61"/>
      <c r="B969" s="63" t="b">
        <v>0</v>
      </c>
      <c r="C969" s="64">
        <v>962.0</v>
      </c>
      <c r="D969" s="65"/>
      <c r="E969" s="185"/>
      <c r="F969" s="185"/>
      <c r="G969" s="69">
        <f>SUMPRODUCT(('⚙️Pengaturan'!$C$3:$C$100=$F969)*('⚙️Pengaturan'!$D$3:$D$100))</f>
        <v>0</v>
      </c>
      <c r="H969" s="70"/>
      <c r="I969" s="69"/>
      <c r="J969" s="69">
        <f t="shared" si="2"/>
        <v>0</v>
      </c>
      <c r="K969" s="71"/>
    </row>
    <row r="970" ht="17.25" customHeight="1">
      <c r="A970" s="61"/>
      <c r="B970" s="63" t="b">
        <v>0</v>
      </c>
      <c r="C970" s="64">
        <v>963.0</v>
      </c>
      <c r="D970" s="65"/>
      <c r="E970" s="185"/>
      <c r="F970" s="185"/>
      <c r="G970" s="69">
        <f>SUMPRODUCT(('⚙️Pengaturan'!$C$3:$C$100=$F970)*('⚙️Pengaturan'!$D$3:$D$100))</f>
        <v>0</v>
      </c>
      <c r="H970" s="70"/>
      <c r="I970" s="69"/>
      <c r="J970" s="69">
        <f t="shared" si="2"/>
        <v>0</v>
      </c>
      <c r="K970" s="71"/>
    </row>
    <row r="971" ht="17.25" customHeight="1">
      <c r="A971" s="61"/>
      <c r="B971" s="63" t="b">
        <v>0</v>
      </c>
      <c r="C971" s="64">
        <v>964.0</v>
      </c>
      <c r="D971" s="65"/>
      <c r="E971" s="185"/>
      <c r="F971" s="185"/>
      <c r="G971" s="69">
        <f>SUMPRODUCT(('⚙️Pengaturan'!$C$3:$C$100=$F971)*('⚙️Pengaturan'!$D$3:$D$100))</f>
        <v>0</v>
      </c>
      <c r="H971" s="70"/>
      <c r="I971" s="69"/>
      <c r="J971" s="69">
        <f t="shared" si="2"/>
        <v>0</v>
      </c>
      <c r="K971" s="71"/>
    </row>
    <row r="972" ht="17.25" customHeight="1">
      <c r="A972" s="61"/>
      <c r="B972" s="63" t="b">
        <v>0</v>
      </c>
      <c r="C972" s="64">
        <v>965.0</v>
      </c>
      <c r="D972" s="65"/>
      <c r="E972" s="185"/>
      <c r="F972" s="185"/>
      <c r="G972" s="69">
        <f>SUMPRODUCT(('⚙️Pengaturan'!$C$3:$C$100=$F972)*('⚙️Pengaturan'!$D$3:$D$100))</f>
        <v>0</v>
      </c>
      <c r="H972" s="70"/>
      <c r="I972" s="69"/>
      <c r="J972" s="69">
        <f t="shared" si="2"/>
        <v>0</v>
      </c>
      <c r="K972" s="71"/>
    </row>
    <row r="973" ht="17.25" customHeight="1">
      <c r="A973" s="61"/>
      <c r="B973" s="63" t="b">
        <v>0</v>
      </c>
      <c r="C973" s="64">
        <v>966.0</v>
      </c>
      <c r="D973" s="65"/>
      <c r="E973" s="185"/>
      <c r="F973" s="185"/>
      <c r="G973" s="69">
        <f>SUMPRODUCT(('⚙️Pengaturan'!$C$3:$C$100=$F973)*('⚙️Pengaturan'!$D$3:$D$100))</f>
        <v>0</v>
      </c>
      <c r="H973" s="70"/>
      <c r="I973" s="69"/>
      <c r="J973" s="69">
        <f t="shared" si="2"/>
        <v>0</v>
      </c>
      <c r="K973" s="71"/>
    </row>
    <row r="974" ht="17.25" customHeight="1">
      <c r="A974" s="61"/>
      <c r="B974" s="63" t="b">
        <v>0</v>
      </c>
      <c r="C974" s="64">
        <v>967.0</v>
      </c>
      <c r="D974" s="65"/>
      <c r="E974" s="185"/>
      <c r="F974" s="185"/>
      <c r="G974" s="69">
        <f>SUMPRODUCT(('⚙️Pengaturan'!$C$3:$C$100=$F974)*('⚙️Pengaturan'!$D$3:$D$100))</f>
        <v>0</v>
      </c>
      <c r="H974" s="70"/>
      <c r="I974" s="69"/>
      <c r="J974" s="69">
        <f t="shared" si="2"/>
        <v>0</v>
      </c>
      <c r="K974" s="71"/>
    </row>
    <row r="975" ht="17.25" customHeight="1">
      <c r="A975" s="61"/>
      <c r="B975" s="63" t="b">
        <v>0</v>
      </c>
      <c r="C975" s="64">
        <v>968.0</v>
      </c>
      <c r="D975" s="65"/>
      <c r="E975" s="185"/>
      <c r="F975" s="185"/>
      <c r="G975" s="69">
        <f>SUMPRODUCT(('⚙️Pengaturan'!$C$3:$C$100=$F975)*('⚙️Pengaturan'!$D$3:$D$100))</f>
        <v>0</v>
      </c>
      <c r="H975" s="70"/>
      <c r="I975" s="69"/>
      <c r="J975" s="69">
        <f t="shared" si="2"/>
        <v>0</v>
      </c>
      <c r="K975" s="71"/>
    </row>
    <row r="976" ht="17.25" customHeight="1">
      <c r="A976" s="61"/>
      <c r="B976" s="63" t="b">
        <v>0</v>
      </c>
      <c r="C976" s="64">
        <v>969.0</v>
      </c>
      <c r="D976" s="65"/>
      <c r="E976" s="185"/>
      <c r="F976" s="185"/>
      <c r="G976" s="69">
        <f>SUMPRODUCT(('⚙️Pengaturan'!$C$3:$C$100=$F976)*('⚙️Pengaturan'!$D$3:$D$100))</f>
        <v>0</v>
      </c>
      <c r="H976" s="70"/>
      <c r="I976" s="69"/>
      <c r="J976" s="69">
        <f t="shared" si="2"/>
        <v>0</v>
      </c>
      <c r="K976" s="71"/>
    </row>
    <row r="977" ht="17.25" customHeight="1">
      <c r="A977" s="61"/>
      <c r="B977" s="63" t="b">
        <v>0</v>
      </c>
      <c r="C977" s="64">
        <v>970.0</v>
      </c>
      <c r="D977" s="65"/>
      <c r="E977" s="185"/>
      <c r="F977" s="185"/>
      <c r="G977" s="69">
        <f>SUMPRODUCT(('⚙️Pengaturan'!$C$3:$C$100=$F977)*('⚙️Pengaturan'!$D$3:$D$100))</f>
        <v>0</v>
      </c>
      <c r="H977" s="70"/>
      <c r="I977" s="69"/>
      <c r="J977" s="69">
        <f t="shared" si="2"/>
        <v>0</v>
      </c>
      <c r="K977" s="71"/>
    </row>
    <row r="978" ht="17.25" customHeight="1">
      <c r="A978" s="61"/>
      <c r="B978" s="63" t="b">
        <v>0</v>
      </c>
      <c r="C978" s="64">
        <v>971.0</v>
      </c>
      <c r="D978" s="65"/>
      <c r="E978" s="185"/>
      <c r="F978" s="185"/>
      <c r="G978" s="69">
        <f>SUMPRODUCT(('⚙️Pengaturan'!$C$3:$C$100=$F978)*('⚙️Pengaturan'!$D$3:$D$100))</f>
        <v>0</v>
      </c>
      <c r="H978" s="70"/>
      <c r="I978" s="69"/>
      <c r="J978" s="69">
        <f t="shared" si="2"/>
        <v>0</v>
      </c>
      <c r="K978" s="71"/>
    </row>
    <row r="979" ht="17.25" customHeight="1">
      <c r="A979" s="61"/>
      <c r="B979" s="63" t="b">
        <v>0</v>
      </c>
      <c r="C979" s="64">
        <v>972.0</v>
      </c>
      <c r="D979" s="65"/>
      <c r="E979" s="185"/>
      <c r="F979" s="185"/>
      <c r="G979" s="69">
        <f>SUMPRODUCT(('⚙️Pengaturan'!$C$3:$C$100=$F979)*('⚙️Pengaturan'!$D$3:$D$100))</f>
        <v>0</v>
      </c>
      <c r="H979" s="70"/>
      <c r="I979" s="69"/>
      <c r="J979" s="69">
        <f t="shared" si="2"/>
        <v>0</v>
      </c>
      <c r="K979" s="71"/>
    </row>
    <row r="980" ht="17.25" customHeight="1">
      <c r="A980" s="61"/>
      <c r="B980" s="63" t="b">
        <v>0</v>
      </c>
      <c r="C980" s="64">
        <v>973.0</v>
      </c>
      <c r="D980" s="65"/>
      <c r="E980" s="185"/>
      <c r="F980" s="185"/>
      <c r="G980" s="69">
        <f>SUMPRODUCT(('⚙️Pengaturan'!$C$3:$C$100=$F980)*('⚙️Pengaturan'!$D$3:$D$100))</f>
        <v>0</v>
      </c>
      <c r="H980" s="70"/>
      <c r="I980" s="69"/>
      <c r="J980" s="69">
        <f t="shared" si="2"/>
        <v>0</v>
      </c>
      <c r="K980" s="71"/>
    </row>
    <row r="981" ht="17.25" customHeight="1">
      <c r="A981" s="61"/>
      <c r="B981" s="63" t="b">
        <v>0</v>
      </c>
      <c r="C981" s="64">
        <v>974.0</v>
      </c>
      <c r="D981" s="65"/>
      <c r="E981" s="185"/>
      <c r="F981" s="185"/>
      <c r="G981" s="69">
        <f>SUMPRODUCT(('⚙️Pengaturan'!$C$3:$C$100=$F981)*('⚙️Pengaturan'!$D$3:$D$100))</f>
        <v>0</v>
      </c>
      <c r="H981" s="70"/>
      <c r="I981" s="69"/>
      <c r="J981" s="69">
        <f t="shared" si="2"/>
        <v>0</v>
      </c>
      <c r="K981" s="71"/>
    </row>
    <row r="982" ht="17.25" customHeight="1">
      <c r="A982" s="61"/>
      <c r="B982" s="63" t="b">
        <v>0</v>
      </c>
      <c r="C982" s="64">
        <v>975.0</v>
      </c>
      <c r="D982" s="65"/>
      <c r="E982" s="185"/>
      <c r="F982" s="185"/>
      <c r="G982" s="69">
        <f>SUMPRODUCT(('⚙️Pengaturan'!$C$3:$C$100=$F982)*('⚙️Pengaturan'!$D$3:$D$100))</f>
        <v>0</v>
      </c>
      <c r="H982" s="70"/>
      <c r="I982" s="69"/>
      <c r="J982" s="69">
        <f t="shared" si="2"/>
        <v>0</v>
      </c>
      <c r="K982" s="71"/>
    </row>
    <row r="983" ht="17.25" customHeight="1">
      <c r="A983" s="61"/>
      <c r="B983" s="63" t="b">
        <v>0</v>
      </c>
      <c r="C983" s="64">
        <v>976.0</v>
      </c>
      <c r="D983" s="65"/>
      <c r="E983" s="185"/>
      <c r="F983" s="185"/>
      <c r="G983" s="69">
        <f>SUMPRODUCT(('⚙️Pengaturan'!$C$3:$C$100=$F983)*('⚙️Pengaturan'!$D$3:$D$100))</f>
        <v>0</v>
      </c>
      <c r="H983" s="70"/>
      <c r="I983" s="69"/>
      <c r="J983" s="69">
        <f t="shared" si="2"/>
        <v>0</v>
      </c>
      <c r="K983" s="71"/>
    </row>
    <row r="984" ht="17.25" customHeight="1">
      <c r="A984" s="61"/>
      <c r="B984" s="63" t="b">
        <v>0</v>
      </c>
      <c r="C984" s="64">
        <v>977.0</v>
      </c>
      <c r="D984" s="65"/>
      <c r="E984" s="185"/>
      <c r="F984" s="185"/>
      <c r="G984" s="69">
        <f>SUMPRODUCT(('⚙️Pengaturan'!$C$3:$C$100=$F984)*('⚙️Pengaturan'!$D$3:$D$100))</f>
        <v>0</v>
      </c>
      <c r="H984" s="70"/>
      <c r="I984" s="69"/>
      <c r="J984" s="69">
        <f t="shared" si="2"/>
        <v>0</v>
      </c>
      <c r="K984" s="71"/>
    </row>
    <row r="985" ht="17.25" customHeight="1">
      <c r="A985" s="61"/>
      <c r="B985" s="63" t="b">
        <v>0</v>
      </c>
      <c r="C985" s="64">
        <v>978.0</v>
      </c>
      <c r="D985" s="65"/>
      <c r="E985" s="185"/>
      <c r="F985" s="185"/>
      <c r="G985" s="69">
        <f>SUMPRODUCT(('⚙️Pengaturan'!$C$3:$C$100=$F985)*('⚙️Pengaturan'!$D$3:$D$100))</f>
        <v>0</v>
      </c>
      <c r="H985" s="70"/>
      <c r="I985" s="69"/>
      <c r="J985" s="69">
        <f t="shared" si="2"/>
        <v>0</v>
      </c>
      <c r="K985" s="71"/>
    </row>
    <row r="986" ht="17.25" customHeight="1">
      <c r="A986" s="61"/>
      <c r="B986" s="63" t="b">
        <v>0</v>
      </c>
      <c r="C986" s="64">
        <v>979.0</v>
      </c>
      <c r="D986" s="65"/>
      <c r="E986" s="185"/>
      <c r="F986" s="185"/>
      <c r="G986" s="69">
        <f>SUMPRODUCT(('⚙️Pengaturan'!$C$3:$C$100=$F986)*('⚙️Pengaturan'!$D$3:$D$100))</f>
        <v>0</v>
      </c>
      <c r="H986" s="70"/>
      <c r="I986" s="69"/>
      <c r="J986" s="69">
        <f t="shared" si="2"/>
        <v>0</v>
      </c>
      <c r="K986" s="71"/>
    </row>
    <row r="987" ht="17.25" customHeight="1">
      <c r="A987" s="61"/>
      <c r="B987" s="63" t="b">
        <v>0</v>
      </c>
      <c r="C987" s="64">
        <v>980.0</v>
      </c>
      <c r="D987" s="65"/>
      <c r="E987" s="185"/>
      <c r="F987" s="185"/>
      <c r="G987" s="69">
        <f>SUMPRODUCT(('⚙️Pengaturan'!$C$3:$C$100=$F987)*('⚙️Pengaturan'!$D$3:$D$100))</f>
        <v>0</v>
      </c>
      <c r="H987" s="70"/>
      <c r="I987" s="69"/>
      <c r="J987" s="69">
        <f t="shared" si="2"/>
        <v>0</v>
      </c>
      <c r="K987" s="71"/>
    </row>
    <row r="988" ht="17.25" customHeight="1">
      <c r="A988" s="61"/>
      <c r="B988" s="63" t="b">
        <v>0</v>
      </c>
      <c r="C988" s="64">
        <v>981.0</v>
      </c>
      <c r="D988" s="65"/>
      <c r="E988" s="185"/>
      <c r="F988" s="185"/>
      <c r="G988" s="69">
        <f>SUMPRODUCT(('⚙️Pengaturan'!$C$3:$C$100=$F988)*('⚙️Pengaturan'!$D$3:$D$100))</f>
        <v>0</v>
      </c>
      <c r="H988" s="70"/>
      <c r="I988" s="69"/>
      <c r="J988" s="69">
        <f t="shared" si="2"/>
        <v>0</v>
      </c>
      <c r="K988" s="71"/>
    </row>
    <row r="989" ht="17.25" customHeight="1">
      <c r="A989" s="61"/>
      <c r="B989" s="63" t="b">
        <v>0</v>
      </c>
      <c r="C989" s="64">
        <v>982.0</v>
      </c>
      <c r="D989" s="65"/>
      <c r="E989" s="185"/>
      <c r="F989" s="185"/>
      <c r="G989" s="69">
        <f>SUMPRODUCT(('⚙️Pengaturan'!$C$3:$C$100=$F989)*('⚙️Pengaturan'!$D$3:$D$100))</f>
        <v>0</v>
      </c>
      <c r="H989" s="70"/>
      <c r="I989" s="69"/>
      <c r="J989" s="69">
        <f t="shared" si="2"/>
        <v>0</v>
      </c>
      <c r="K989" s="71"/>
    </row>
    <row r="990" ht="17.25" customHeight="1">
      <c r="A990" s="61"/>
      <c r="B990" s="63" t="b">
        <v>0</v>
      </c>
      <c r="C990" s="64">
        <v>983.0</v>
      </c>
      <c r="D990" s="65"/>
      <c r="E990" s="185"/>
      <c r="F990" s="185"/>
      <c r="G990" s="69">
        <f>SUMPRODUCT(('⚙️Pengaturan'!$C$3:$C$100=$F990)*('⚙️Pengaturan'!$D$3:$D$100))</f>
        <v>0</v>
      </c>
      <c r="H990" s="70"/>
      <c r="I990" s="69"/>
      <c r="J990" s="69">
        <f t="shared" si="2"/>
        <v>0</v>
      </c>
      <c r="K990" s="71"/>
    </row>
    <row r="991" ht="17.25" customHeight="1">
      <c r="A991" s="61"/>
      <c r="B991" s="63" t="b">
        <v>0</v>
      </c>
      <c r="C991" s="64">
        <v>984.0</v>
      </c>
      <c r="D991" s="65"/>
      <c r="E991" s="185"/>
      <c r="F991" s="185"/>
      <c r="G991" s="69">
        <f>SUMPRODUCT(('⚙️Pengaturan'!$C$3:$C$100=$F991)*('⚙️Pengaturan'!$D$3:$D$100))</f>
        <v>0</v>
      </c>
      <c r="H991" s="70"/>
      <c r="I991" s="69"/>
      <c r="J991" s="69">
        <f t="shared" si="2"/>
        <v>0</v>
      </c>
      <c r="K991" s="71"/>
    </row>
    <row r="992" ht="17.25" customHeight="1">
      <c r="A992" s="61"/>
      <c r="B992" s="63" t="b">
        <v>0</v>
      </c>
      <c r="C992" s="64">
        <v>985.0</v>
      </c>
      <c r="D992" s="65"/>
      <c r="E992" s="185"/>
      <c r="F992" s="185"/>
      <c r="G992" s="69">
        <f>SUMPRODUCT(('⚙️Pengaturan'!$C$3:$C$100=$F992)*('⚙️Pengaturan'!$D$3:$D$100))</f>
        <v>0</v>
      </c>
      <c r="H992" s="70"/>
      <c r="I992" s="69"/>
      <c r="J992" s="69">
        <f t="shared" si="2"/>
        <v>0</v>
      </c>
      <c r="K992" s="71"/>
    </row>
    <row r="993" ht="17.25" customHeight="1">
      <c r="A993" s="61"/>
      <c r="B993" s="63" t="b">
        <v>0</v>
      </c>
      <c r="C993" s="64">
        <v>986.0</v>
      </c>
      <c r="D993" s="65"/>
      <c r="E993" s="185"/>
      <c r="F993" s="185"/>
      <c r="G993" s="69">
        <f>SUMPRODUCT(('⚙️Pengaturan'!$C$3:$C$100=$F993)*('⚙️Pengaturan'!$D$3:$D$100))</f>
        <v>0</v>
      </c>
      <c r="H993" s="70"/>
      <c r="I993" s="69"/>
      <c r="J993" s="69">
        <f t="shared" si="2"/>
        <v>0</v>
      </c>
      <c r="K993" s="71"/>
    </row>
    <row r="994" ht="16.5" customHeight="1">
      <c r="A994" s="3"/>
      <c r="B994" s="63" t="b">
        <v>0</v>
      </c>
      <c r="C994" s="64">
        <v>987.0</v>
      </c>
      <c r="D994" s="65"/>
      <c r="E994" s="185"/>
      <c r="F994" s="185"/>
      <c r="G994" s="69">
        <f>SUMPRODUCT(('⚙️Pengaturan'!$C$3:$C$100=$F994)*('⚙️Pengaturan'!$D$3:$D$100))</f>
        <v>0</v>
      </c>
      <c r="H994" s="70"/>
      <c r="I994" s="69"/>
      <c r="J994" s="69">
        <f t="shared" si="2"/>
        <v>0</v>
      </c>
      <c r="K994" s="3"/>
    </row>
    <row r="995" ht="16.5" customHeight="1">
      <c r="A995" s="187"/>
      <c r="B995" s="63" t="b">
        <v>0</v>
      </c>
      <c r="C995" s="64">
        <v>988.0</v>
      </c>
      <c r="D995" s="65"/>
      <c r="E995" s="185"/>
      <c r="F995" s="185"/>
      <c r="G995" s="69">
        <f>SUMPRODUCT(('⚙️Pengaturan'!$C$3:$C$100=$F995)*('⚙️Pengaturan'!$D$3:$D$100))</f>
        <v>0</v>
      </c>
      <c r="H995" s="70"/>
      <c r="I995" s="69"/>
      <c r="J995" s="69">
        <f t="shared" si="2"/>
        <v>0</v>
      </c>
      <c r="K995" s="187"/>
    </row>
    <row r="996" ht="16.5" customHeight="1">
      <c r="A996" s="3"/>
      <c r="B996" s="63" t="b">
        <v>0</v>
      </c>
      <c r="C996" s="64">
        <v>989.0</v>
      </c>
      <c r="D996" s="65"/>
      <c r="E996" s="185"/>
      <c r="F996" s="185"/>
      <c r="G996" s="69">
        <f>SUMPRODUCT(('⚙️Pengaturan'!$C$3:$C$100=$F996)*('⚙️Pengaturan'!$D$3:$D$100))</f>
        <v>0</v>
      </c>
      <c r="H996" s="70"/>
      <c r="I996" s="69"/>
      <c r="J996" s="69">
        <f t="shared" si="2"/>
        <v>0</v>
      </c>
      <c r="K996" s="3"/>
    </row>
    <row r="997" ht="16.5" customHeight="1">
      <c r="A997" s="3"/>
      <c r="B997" s="63" t="b">
        <v>0</v>
      </c>
      <c r="C997" s="64">
        <v>990.0</v>
      </c>
      <c r="D997" s="65"/>
      <c r="E997" s="185"/>
      <c r="F997" s="185"/>
      <c r="G997" s="69">
        <f>SUMPRODUCT(('⚙️Pengaturan'!$C$3:$C$100=$F997)*('⚙️Pengaturan'!$D$3:$D$100))</f>
        <v>0</v>
      </c>
      <c r="H997" s="70"/>
      <c r="I997" s="69"/>
      <c r="J997" s="69">
        <f t="shared" si="2"/>
        <v>0</v>
      </c>
      <c r="K997" s="3"/>
    </row>
    <row r="998" ht="16.5" customHeight="1">
      <c r="A998" s="3"/>
      <c r="B998" s="63" t="b">
        <v>0</v>
      </c>
      <c r="C998" s="64">
        <v>991.0</v>
      </c>
      <c r="D998" s="65"/>
      <c r="E998" s="185"/>
      <c r="F998" s="185"/>
      <c r="G998" s="69">
        <f>SUMPRODUCT(('⚙️Pengaturan'!$C$3:$C$100=$F998)*('⚙️Pengaturan'!$D$3:$D$100))</f>
        <v>0</v>
      </c>
      <c r="H998" s="70"/>
      <c r="I998" s="69"/>
      <c r="J998" s="69">
        <f t="shared" si="2"/>
        <v>0</v>
      </c>
      <c r="K998" s="3"/>
    </row>
    <row r="999" ht="16.5" customHeight="1">
      <c r="A999" s="3"/>
      <c r="B999" s="63" t="b">
        <v>0</v>
      </c>
      <c r="C999" s="64">
        <v>992.0</v>
      </c>
      <c r="D999" s="65"/>
      <c r="E999" s="185"/>
      <c r="F999" s="185"/>
      <c r="G999" s="69">
        <f>SUMPRODUCT(('⚙️Pengaturan'!$C$3:$C$100=$F999)*('⚙️Pengaturan'!$D$3:$D$100))</f>
        <v>0</v>
      </c>
      <c r="H999" s="70"/>
      <c r="I999" s="69"/>
      <c r="J999" s="69">
        <f t="shared" si="2"/>
        <v>0</v>
      </c>
      <c r="K999" s="3"/>
    </row>
    <row r="1000" ht="16.5" customHeight="1">
      <c r="A1000" s="3"/>
      <c r="B1000" s="63" t="b">
        <v>0</v>
      </c>
      <c r="C1000" s="64">
        <v>993.0</v>
      </c>
      <c r="D1000" s="65"/>
      <c r="E1000" s="185"/>
      <c r="F1000" s="185"/>
      <c r="G1000" s="69">
        <f>SUMPRODUCT(('⚙️Pengaturan'!$C$3:$C$100=$F1000)*('⚙️Pengaturan'!$D$3:$D$100))</f>
        <v>0</v>
      </c>
      <c r="H1000" s="70"/>
      <c r="I1000" s="69"/>
      <c r="J1000" s="69">
        <f t="shared" si="2"/>
        <v>0</v>
      </c>
      <c r="K1000" s="3"/>
    </row>
    <row r="1001" ht="16.5" customHeight="1">
      <c r="A1001" s="3"/>
      <c r="B1001" s="63" t="b">
        <v>0</v>
      </c>
      <c r="C1001" s="64">
        <v>994.0</v>
      </c>
      <c r="D1001" s="65"/>
      <c r="E1001" s="185"/>
      <c r="F1001" s="185"/>
      <c r="G1001" s="69">
        <f>SUMPRODUCT(('⚙️Pengaturan'!$C$3:$C$100=$F1001)*('⚙️Pengaturan'!$D$3:$D$100))</f>
        <v>0</v>
      </c>
      <c r="H1001" s="70"/>
      <c r="I1001" s="69"/>
      <c r="J1001" s="69">
        <f t="shared" si="2"/>
        <v>0</v>
      </c>
      <c r="K1001" s="3"/>
    </row>
    <row r="1002" ht="16.5" customHeight="1">
      <c r="A1002" s="3"/>
      <c r="B1002" s="63" t="b">
        <v>0</v>
      </c>
      <c r="C1002" s="64">
        <v>995.0</v>
      </c>
      <c r="D1002" s="65"/>
      <c r="E1002" s="185"/>
      <c r="F1002" s="185"/>
      <c r="G1002" s="69">
        <f>SUMPRODUCT(('⚙️Pengaturan'!$C$3:$C$100=$F1002)*('⚙️Pengaturan'!$D$3:$D$100))</f>
        <v>0</v>
      </c>
      <c r="H1002" s="70"/>
      <c r="I1002" s="69"/>
      <c r="J1002" s="69">
        <f t="shared" si="2"/>
        <v>0</v>
      </c>
      <c r="K1002" s="3"/>
    </row>
    <row r="1003" ht="16.5" customHeight="1">
      <c r="A1003" s="3"/>
      <c r="B1003" s="63" t="b">
        <v>0</v>
      </c>
      <c r="C1003" s="64">
        <v>996.0</v>
      </c>
      <c r="D1003" s="65"/>
      <c r="E1003" s="185"/>
      <c r="F1003" s="185"/>
      <c r="G1003" s="69">
        <f>SUMPRODUCT(('⚙️Pengaturan'!$C$3:$C$100=$F1003)*('⚙️Pengaturan'!$D$3:$D$100))</f>
        <v>0</v>
      </c>
      <c r="H1003" s="70"/>
      <c r="I1003" s="69"/>
      <c r="J1003" s="69">
        <f t="shared" si="2"/>
        <v>0</v>
      </c>
      <c r="K1003" s="3"/>
    </row>
    <row r="1004" ht="16.5" customHeight="1">
      <c r="A1004" s="3"/>
      <c r="B1004" s="63" t="b">
        <v>0</v>
      </c>
      <c r="C1004" s="64">
        <v>997.0</v>
      </c>
      <c r="D1004" s="65"/>
      <c r="E1004" s="185"/>
      <c r="F1004" s="185"/>
      <c r="G1004" s="69">
        <f>SUMPRODUCT(('⚙️Pengaturan'!$C$3:$C$100=$F1004)*('⚙️Pengaturan'!$D$3:$D$100))</f>
        <v>0</v>
      </c>
      <c r="H1004" s="70"/>
      <c r="I1004" s="69"/>
      <c r="J1004" s="69">
        <f t="shared" si="2"/>
        <v>0</v>
      </c>
      <c r="K1004" s="3"/>
    </row>
    <row r="1005" ht="16.5" customHeight="1">
      <c r="A1005" s="3"/>
      <c r="B1005" s="63" t="b">
        <v>0</v>
      </c>
      <c r="C1005" s="64">
        <v>998.0</v>
      </c>
      <c r="D1005" s="65"/>
      <c r="E1005" s="185"/>
      <c r="F1005" s="185"/>
      <c r="G1005" s="69">
        <f>SUMPRODUCT(('⚙️Pengaturan'!$C$3:$C$100=$F1005)*('⚙️Pengaturan'!$D$3:$D$100))</f>
        <v>0</v>
      </c>
      <c r="H1005" s="70"/>
      <c r="I1005" s="69"/>
      <c r="J1005" s="69">
        <f t="shared" si="2"/>
        <v>0</v>
      </c>
      <c r="K1005" s="3"/>
    </row>
    <row r="1006" ht="16.5" customHeight="1">
      <c r="A1006" s="3"/>
      <c r="B1006" s="63" t="b">
        <v>0</v>
      </c>
      <c r="C1006" s="64">
        <v>999.0</v>
      </c>
      <c r="D1006" s="65"/>
      <c r="E1006" s="185"/>
      <c r="F1006" s="185"/>
      <c r="G1006" s="69">
        <f>SUMPRODUCT(('⚙️Pengaturan'!$C$3:$C$100=$F1006)*('⚙️Pengaturan'!$D$3:$D$100))</f>
        <v>0</v>
      </c>
      <c r="H1006" s="70"/>
      <c r="I1006" s="69"/>
      <c r="J1006" s="69">
        <f t="shared" si="2"/>
        <v>0</v>
      </c>
      <c r="K1006" s="3"/>
    </row>
    <row r="1007" ht="16.5" customHeight="1">
      <c r="A1007" s="3"/>
      <c r="B1007" s="63" t="b">
        <v>0</v>
      </c>
      <c r="C1007" s="64">
        <v>1000.0</v>
      </c>
      <c r="D1007" s="65"/>
      <c r="E1007" s="185"/>
      <c r="F1007" s="185"/>
      <c r="G1007" s="69">
        <f>SUMPRODUCT(('⚙️Pengaturan'!$C$3:$C$100=$F1007)*('⚙️Pengaturan'!$D$3:$D$100))</f>
        <v>0</v>
      </c>
      <c r="H1007" s="70"/>
      <c r="I1007" s="69"/>
      <c r="J1007" s="69">
        <f t="shared" si="2"/>
        <v>0</v>
      </c>
      <c r="K1007" s="3"/>
    </row>
    <row r="1008" ht="16.5" customHeight="1">
      <c r="A1008" s="3"/>
      <c r="B1008" s="63" t="b">
        <v>0</v>
      </c>
      <c r="C1008" s="64"/>
      <c r="D1008" s="65"/>
      <c r="E1008" s="185"/>
      <c r="F1008" s="185"/>
      <c r="G1008" s="69">
        <f>SUMPRODUCT(('⚙️Pengaturan'!$C$3:$C$100=$F1008)*('⚙️Pengaturan'!$D$3:$D$100))</f>
        <v>0</v>
      </c>
      <c r="H1008" s="70"/>
      <c r="I1008" s="69"/>
      <c r="J1008" s="69">
        <f t="shared" si="2"/>
        <v>0</v>
      </c>
      <c r="K1008" s="3"/>
    </row>
    <row r="1009" ht="16.5" customHeight="1">
      <c r="A1009" s="3"/>
      <c r="B1009" s="63" t="b">
        <v>0</v>
      </c>
      <c r="C1009" s="64"/>
      <c r="D1009" s="65"/>
      <c r="E1009" s="185"/>
      <c r="F1009" s="185"/>
      <c r="G1009" s="69">
        <f>SUMPRODUCT(('⚙️Pengaturan'!$C$3:$C$100=$F1009)*('⚙️Pengaturan'!$D$3:$D$100))</f>
        <v>0</v>
      </c>
      <c r="H1009" s="70"/>
      <c r="I1009" s="69"/>
      <c r="J1009" s="69">
        <f t="shared" si="2"/>
        <v>0</v>
      </c>
      <c r="K1009" s="3"/>
    </row>
    <row r="1010" ht="16.5" customHeight="1">
      <c r="A1010" s="3"/>
      <c r="B1010" s="63" t="b">
        <v>0</v>
      </c>
      <c r="C1010" s="64"/>
      <c r="D1010" s="65"/>
      <c r="E1010" s="185"/>
      <c r="F1010" s="185"/>
      <c r="G1010" s="69">
        <f>SUMPRODUCT(('⚙️Pengaturan'!$C$3:$C$100=$F1010)*('⚙️Pengaturan'!$D$3:$D$100))</f>
        <v>0</v>
      </c>
      <c r="H1010" s="70"/>
      <c r="I1010" s="69"/>
      <c r="J1010" s="69">
        <f t="shared" si="2"/>
        <v>0</v>
      </c>
      <c r="K1010" s="3"/>
    </row>
    <row r="1011" ht="16.5" customHeight="1">
      <c r="A1011" s="3"/>
      <c r="B1011" s="63" t="b">
        <v>0</v>
      </c>
      <c r="C1011" s="64"/>
      <c r="D1011" s="65"/>
      <c r="E1011" s="185"/>
      <c r="F1011" s="185"/>
      <c r="G1011" s="69">
        <f>SUMPRODUCT(('⚙️Pengaturan'!$C$3:$C$100=$F1011)*('⚙️Pengaturan'!$D$3:$D$100))</f>
        <v>0</v>
      </c>
      <c r="H1011" s="70"/>
      <c r="I1011" s="69"/>
      <c r="J1011" s="69">
        <f t="shared" si="2"/>
        <v>0</v>
      </c>
      <c r="K1011" s="3"/>
    </row>
    <row r="1012" ht="16.5" customHeight="1">
      <c r="A1012" s="3"/>
      <c r="B1012" s="63" t="b">
        <v>0</v>
      </c>
      <c r="C1012" s="64"/>
      <c r="D1012" s="65"/>
      <c r="E1012" s="185"/>
      <c r="F1012" s="185"/>
      <c r="G1012" s="69">
        <f>SUMPRODUCT(('⚙️Pengaturan'!$C$3:$C$100=$F1012)*('⚙️Pengaturan'!$D$3:$D$100))</f>
        <v>0</v>
      </c>
      <c r="H1012" s="70"/>
      <c r="I1012" s="69"/>
      <c r="J1012" s="69">
        <f t="shared" si="2"/>
        <v>0</v>
      </c>
      <c r="K1012" s="3"/>
    </row>
    <row r="1013" ht="16.5" customHeight="1">
      <c r="A1013" s="3"/>
      <c r="B1013" s="63" t="b">
        <v>0</v>
      </c>
      <c r="C1013" s="64"/>
      <c r="D1013" s="65"/>
      <c r="E1013" s="185"/>
      <c r="F1013" s="185"/>
      <c r="G1013" s="69">
        <f>SUMPRODUCT(('⚙️Pengaturan'!$C$3:$C$100=$F1013)*('⚙️Pengaturan'!$D$3:$D$100))</f>
        <v>0</v>
      </c>
      <c r="H1013" s="70"/>
      <c r="I1013" s="69"/>
      <c r="J1013" s="69">
        <f t="shared" si="2"/>
        <v>0</v>
      </c>
      <c r="K1013" s="3"/>
    </row>
    <row r="1014" ht="16.5" customHeight="1">
      <c r="A1014" s="3"/>
      <c r="B1014" s="63" t="b">
        <v>0</v>
      </c>
      <c r="C1014" s="64"/>
      <c r="D1014" s="65"/>
      <c r="E1014" s="185"/>
      <c r="F1014" s="185"/>
      <c r="G1014" s="69">
        <f>SUMPRODUCT(('⚙️Pengaturan'!$C$3:$C$100=$F1014)*('⚙️Pengaturan'!$D$3:$D$100))</f>
        <v>0</v>
      </c>
      <c r="H1014" s="70"/>
      <c r="I1014" s="69"/>
      <c r="J1014" s="69">
        <f t="shared" si="2"/>
        <v>0</v>
      </c>
      <c r="K1014" s="3"/>
    </row>
    <row r="1015" ht="16.5" customHeight="1">
      <c r="A1015" s="3"/>
      <c r="B1015" s="63" t="b">
        <v>0</v>
      </c>
      <c r="C1015" s="64"/>
      <c r="D1015" s="65"/>
      <c r="E1015" s="185"/>
      <c r="F1015" s="185"/>
      <c r="G1015" s="69">
        <f>SUMPRODUCT(('⚙️Pengaturan'!$C$3:$C$100=$F1015)*('⚙️Pengaturan'!$D$3:$D$100))</f>
        <v>0</v>
      </c>
      <c r="H1015" s="70"/>
      <c r="I1015" s="69"/>
      <c r="J1015" s="69">
        <f t="shared" si="2"/>
        <v>0</v>
      </c>
      <c r="K1015" s="3"/>
    </row>
    <row r="1016" ht="16.5" customHeight="1">
      <c r="A1016" s="3"/>
      <c r="B1016" s="63" t="b">
        <v>0</v>
      </c>
      <c r="C1016" s="64"/>
      <c r="D1016" s="65"/>
      <c r="E1016" s="185"/>
      <c r="F1016" s="185"/>
      <c r="G1016" s="69">
        <f>SUMPRODUCT(('⚙️Pengaturan'!$C$3:$C$100=$F1016)*('⚙️Pengaturan'!$D$3:$D$100))</f>
        <v>0</v>
      </c>
      <c r="H1016" s="70"/>
      <c r="I1016" s="69"/>
      <c r="J1016" s="69">
        <f t="shared" si="2"/>
        <v>0</v>
      </c>
      <c r="K1016" s="3"/>
    </row>
    <row r="1017" ht="16.5" customHeight="1">
      <c r="A1017" s="3"/>
      <c r="B1017" s="63" t="b">
        <v>0</v>
      </c>
      <c r="C1017" s="64"/>
      <c r="D1017" s="65"/>
      <c r="E1017" s="185"/>
      <c r="F1017" s="185"/>
      <c r="G1017" s="69">
        <f>SUMPRODUCT(('⚙️Pengaturan'!$C$3:$C$100=$F1017)*('⚙️Pengaturan'!$D$3:$D$100))</f>
        <v>0</v>
      </c>
      <c r="H1017" s="70"/>
      <c r="I1017" s="69"/>
      <c r="J1017" s="69">
        <f t="shared" si="2"/>
        <v>0</v>
      </c>
      <c r="K1017" s="3"/>
    </row>
    <row r="1018" ht="11.25" customHeight="1">
      <c r="A1018" s="3"/>
      <c r="B1018" s="3"/>
      <c r="C1018" s="188"/>
      <c r="D1018" s="242"/>
      <c r="E1018" s="243"/>
      <c r="F1018" s="190"/>
      <c r="G1018" s="191"/>
      <c r="H1018" s="190"/>
      <c r="I1018" s="191"/>
      <c r="J1018" s="191"/>
      <c r="K1018" s="3"/>
    </row>
  </sheetData>
  <mergeCells count="1">
    <mergeCell ref="B2:J2"/>
  </mergeCells>
  <conditionalFormatting sqref="C8:J1017">
    <cfRule type="expression" dxfId="0" priority="1">
      <formula>$B8=TRUE</formula>
    </cfRule>
  </conditionalFormatting>
  <conditionalFormatting sqref="B1:B1018">
    <cfRule type="cellIs" dxfId="5" priority="2" stopIfTrue="1" operator="equal">
      <formula>"TRUE"</formula>
    </cfRule>
  </conditionalFormatting>
  <dataValidations>
    <dataValidation type="list" allowBlank="1" showErrorMessage="1" sqref="F8:F1017">
      <formula1>'⚙️Pengaturan'!$C$3:$C$100</formula1>
    </dataValidation>
    <dataValidation type="custom" allowBlank="1" showDropDown="1" showInputMessage="1" prompt="Enter a valid date" sqref="D8:D618 D619:E619 D620:D1018">
      <formula1>OR(NOT(ISERROR(DATEVALUE(D8))), AND(ISNUMBER(D8), LEFT(CELL("format", D8))="D"))</formula1>
    </dataValidation>
    <dataValidation type="list" allowBlank="1" showErrorMessage="1" sqref="H8:H1018">
      <formula1>'⚙️Pengaturan'!$F$3:$F$100</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E9E"/>
    <outlinePr summaryBelow="0" summaryRight="0"/>
  </sheetPr>
  <sheetViews>
    <sheetView showGridLines="0" workbookViewId="0">
      <pane ySplit="7.0" topLeftCell="A8" activePane="bottomLeft" state="frozen"/>
      <selection activeCell="B9" sqref="B9" pane="bottomLeft"/>
    </sheetView>
  </sheetViews>
  <sheetFormatPr customHeight="1" defaultColWidth="12.63" defaultRowHeight="15.75"/>
  <cols>
    <col customWidth="1" min="1" max="1" width="1.75"/>
    <col customWidth="1" min="2" max="2" width="6.75"/>
    <col customWidth="1" min="3" max="3" width="6.38"/>
    <col customWidth="1" min="4" max="4" width="19.0"/>
    <col customWidth="1" min="5" max="5" width="27.75"/>
    <col customWidth="1" min="6" max="6" width="20.13"/>
    <col customWidth="1" min="7" max="8" width="25.13"/>
    <col customWidth="1" min="9" max="9" width="1.75"/>
  </cols>
  <sheetData>
    <row r="1" ht="9.0" customHeight="1">
      <c r="A1" s="1" t="s">
        <v>0</v>
      </c>
      <c r="B1" s="3"/>
      <c r="C1" s="4"/>
      <c r="D1" s="9"/>
      <c r="E1" s="7"/>
      <c r="F1" s="10"/>
      <c r="G1" s="11"/>
      <c r="H1" s="11"/>
      <c r="I1" s="3"/>
    </row>
    <row r="2" ht="26.25" customHeight="1">
      <c r="A2" s="3"/>
      <c r="B2" s="15" t="s">
        <v>0</v>
      </c>
      <c r="I2" s="3"/>
    </row>
    <row r="3" ht="9.0" customHeight="1">
      <c r="A3" s="3"/>
      <c r="B3" s="16"/>
      <c r="C3" s="17"/>
      <c r="D3" s="19"/>
      <c r="E3" s="16"/>
      <c r="F3" s="20"/>
      <c r="G3" s="16"/>
      <c r="H3" s="16"/>
      <c r="I3" s="3"/>
    </row>
    <row r="4" ht="21.0" customHeight="1">
      <c r="A4" s="3"/>
      <c r="B4" s="23" t="s">
        <v>4</v>
      </c>
      <c r="C4" s="24"/>
      <c r="D4" s="26">
        <f>TODAY()</f>
        <v>46314</v>
      </c>
      <c r="E4" s="26"/>
      <c r="F4" s="27"/>
      <c r="G4" s="28" t="str">
        <f>'⚙️Pengaturan'!B3</f>
        <v>Fisioterapi Gang Sehat Singkawang</v>
      </c>
      <c r="H4" s="33"/>
      <c r="I4" s="3"/>
    </row>
    <row r="5" ht="9.0" customHeight="1">
      <c r="A5" s="3"/>
      <c r="B5" s="3"/>
      <c r="C5" s="31"/>
      <c r="D5" s="37"/>
      <c r="E5" s="34"/>
      <c r="F5" s="20"/>
      <c r="G5" s="34"/>
      <c r="H5" s="34"/>
      <c r="I5" s="3"/>
    </row>
    <row r="6" ht="25.5" customHeight="1">
      <c r="A6" s="40"/>
      <c r="B6" s="43" t="s">
        <v>5</v>
      </c>
      <c r="C6" s="41" t="s">
        <v>6</v>
      </c>
      <c r="D6" s="50" t="s">
        <v>7</v>
      </c>
      <c r="E6" s="46" t="s">
        <v>15</v>
      </c>
      <c r="F6" s="52" t="s">
        <v>16</v>
      </c>
      <c r="G6" s="46" t="s">
        <v>17</v>
      </c>
      <c r="H6" s="46" t="s">
        <v>18</v>
      </c>
      <c r="I6" s="40"/>
    </row>
    <row r="7" ht="7.5" customHeight="1">
      <c r="A7" s="3"/>
      <c r="B7" s="49"/>
      <c r="C7" s="51"/>
      <c r="D7" s="58"/>
      <c r="E7" s="54"/>
      <c r="F7" s="55"/>
      <c r="G7" s="56"/>
      <c r="H7" s="56"/>
      <c r="I7" s="3"/>
    </row>
    <row r="8" ht="17.25" customHeight="1">
      <c r="A8" s="61"/>
      <c r="B8" s="63" t="b">
        <v>0</v>
      </c>
      <c r="C8" s="64">
        <f t="array" ref="C8:C1007">SEQUENCE(1000,"1")</f>
        <v>1</v>
      </c>
      <c r="D8" s="66">
        <v>45383.0</v>
      </c>
      <c r="E8" s="67" t="s">
        <v>25</v>
      </c>
      <c r="F8" s="69">
        <v>25500.0</v>
      </c>
      <c r="G8" s="70" t="s">
        <v>26</v>
      </c>
      <c r="H8" s="70" t="s">
        <v>28</v>
      </c>
      <c r="I8" s="71"/>
    </row>
    <row r="9" ht="17.25" customHeight="1">
      <c r="A9" s="61"/>
      <c r="B9" s="63" t="b">
        <v>0</v>
      </c>
      <c r="C9" s="64">
        <v>2.0</v>
      </c>
      <c r="D9" s="66">
        <v>45383.0</v>
      </c>
      <c r="E9" s="67" t="s">
        <v>25</v>
      </c>
      <c r="F9" s="69">
        <v>25500.0</v>
      </c>
      <c r="G9" s="70" t="s">
        <v>30</v>
      </c>
      <c r="H9" s="70" t="s">
        <v>28</v>
      </c>
      <c r="I9" s="71"/>
    </row>
    <row r="10" ht="17.25" customHeight="1">
      <c r="A10" s="61"/>
      <c r="B10" s="63" t="b">
        <v>0</v>
      </c>
      <c r="C10" s="64">
        <v>3.0</v>
      </c>
      <c r="D10" s="66">
        <v>45383.0</v>
      </c>
      <c r="E10" s="67" t="s">
        <v>32</v>
      </c>
      <c r="F10" s="69">
        <v>2000.0</v>
      </c>
      <c r="G10" s="70" t="s">
        <v>33</v>
      </c>
      <c r="H10" s="70" t="s">
        <v>28</v>
      </c>
      <c r="I10" s="71"/>
    </row>
    <row r="11" ht="17.25" customHeight="1">
      <c r="A11" s="61"/>
      <c r="B11" s="63" t="b">
        <v>0</v>
      </c>
      <c r="C11" s="64">
        <v>4.0</v>
      </c>
      <c r="D11" s="66">
        <v>45384.0</v>
      </c>
      <c r="E11" s="67" t="s">
        <v>35</v>
      </c>
      <c r="F11" s="69">
        <v>201901.0</v>
      </c>
      <c r="G11" s="70" t="s">
        <v>36</v>
      </c>
      <c r="H11" s="70" t="s">
        <v>28</v>
      </c>
      <c r="I11" s="71"/>
    </row>
    <row r="12" ht="17.25" customHeight="1">
      <c r="A12" s="61"/>
      <c r="B12" s="63" t="b">
        <v>0</v>
      </c>
      <c r="C12" s="64">
        <v>5.0</v>
      </c>
      <c r="D12" s="66">
        <v>45384.0</v>
      </c>
      <c r="E12" s="67" t="s">
        <v>32</v>
      </c>
      <c r="F12" s="69">
        <v>4000.0</v>
      </c>
      <c r="G12" s="70" t="s">
        <v>33</v>
      </c>
      <c r="H12" s="70" t="s">
        <v>28</v>
      </c>
      <c r="I12" s="71"/>
    </row>
    <row r="13" ht="17.25" customHeight="1">
      <c r="A13" s="61"/>
      <c r="B13" s="63" t="b">
        <v>0</v>
      </c>
      <c r="C13" s="64">
        <v>6.0</v>
      </c>
      <c r="D13" s="66">
        <v>45385.0</v>
      </c>
      <c r="E13" s="67" t="s">
        <v>32</v>
      </c>
      <c r="F13" s="69">
        <v>4000.0</v>
      </c>
      <c r="G13" s="70" t="s">
        <v>33</v>
      </c>
      <c r="H13" s="70" t="s">
        <v>28</v>
      </c>
      <c r="I13" s="71"/>
    </row>
    <row r="14" ht="17.25" customHeight="1">
      <c r="A14" s="61"/>
      <c r="B14" s="63" t="b">
        <v>0</v>
      </c>
      <c r="C14" s="64">
        <v>7.0</v>
      </c>
      <c r="D14" s="66">
        <v>45385.0</v>
      </c>
      <c r="E14" s="67" t="s">
        <v>25</v>
      </c>
      <c r="F14" s="69">
        <v>1000.0</v>
      </c>
      <c r="G14" s="70" t="s">
        <v>40</v>
      </c>
      <c r="H14" s="70" t="s">
        <v>28</v>
      </c>
      <c r="I14" s="71"/>
    </row>
    <row r="15" ht="17.25" customHeight="1">
      <c r="A15" s="61"/>
      <c r="B15" s="63" t="b">
        <v>0</v>
      </c>
      <c r="C15" s="64">
        <v>8.0</v>
      </c>
      <c r="D15" s="66">
        <v>45386.0</v>
      </c>
      <c r="E15" s="67" t="s">
        <v>32</v>
      </c>
      <c r="F15" s="69">
        <v>4000.0</v>
      </c>
      <c r="G15" s="70" t="s">
        <v>33</v>
      </c>
      <c r="H15" s="70" t="s">
        <v>28</v>
      </c>
      <c r="I15" s="71"/>
    </row>
    <row r="16" ht="17.25" customHeight="1">
      <c r="A16" s="61"/>
      <c r="B16" s="63" t="b">
        <v>0</v>
      </c>
      <c r="C16" s="64">
        <v>9.0</v>
      </c>
      <c r="D16" s="66">
        <v>45388.0</v>
      </c>
      <c r="E16" s="67" t="s">
        <v>32</v>
      </c>
      <c r="F16" s="69">
        <v>2000.0</v>
      </c>
      <c r="G16" s="70" t="s">
        <v>33</v>
      </c>
      <c r="H16" s="70" t="s">
        <v>28</v>
      </c>
      <c r="I16" s="71"/>
    </row>
    <row r="17" ht="17.25" customHeight="1">
      <c r="A17" s="61"/>
      <c r="B17" s="63" t="b">
        <v>0</v>
      </c>
      <c r="C17" s="64">
        <v>10.0</v>
      </c>
      <c r="D17" s="66">
        <v>45388.0</v>
      </c>
      <c r="E17" s="67" t="s">
        <v>32</v>
      </c>
      <c r="F17" s="69">
        <v>16500.0</v>
      </c>
      <c r="G17" s="70" t="s">
        <v>45</v>
      </c>
      <c r="H17" s="70" t="s">
        <v>28</v>
      </c>
      <c r="I17" s="71"/>
    </row>
    <row r="18" ht="17.25" customHeight="1">
      <c r="A18" s="61"/>
      <c r="B18" s="63" t="b">
        <v>0</v>
      </c>
      <c r="C18" s="64">
        <v>11.0</v>
      </c>
      <c r="D18" s="66">
        <v>45389.0</v>
      </c>
      <c r="E18" s="67" t="s">
        <v>25</v>
      </c>
      <c r="F18" s="69">
        <v>15000.0</v>
      </c>
      <c r="G18" s="70" t="s">
        <v>46</v>
      </c>
      <c r="H18" s="70" t="s">
        <v>28</v>
      </c>
      <c r="I18" s="71"/>
    </row>
    <row r="19" ht="17.25" customHeight="1">
      <c r="A19" s="61"/>
      <c r="B19" s="63" t="b">
        <v>0</v>
      </c>
      <c r="C19" s="64">
        <v>12.0</v>
      </c>
      <c r="D19" s="66">
        <v>45389.0</v>
      </c>
      <c r="E19" s="67" t="s">
        <v>32</v>
      </c>
      <c r="F19" s="69">
        <v>3500.0</v>
      </c>
      <c r="G19" s="70" t="s">
        <v>47</v>
      </c>
      <c r="H19" s="70" t="s">
        <v>28</v>
      </c>
      <c r="I19" s="71"/>
    </row>
    <row r="20" ht="17.25" customHeight="1">
      <c r="A20" s="61"/>
      <c r="B20" s="63" t="b">
        <v>0</v>
      </c>
      <c r="C20" s="64">
        <v>13.0</v>
      </c>
      <c r="D20" s="66">
        <v>45397.0</v>
      </c>
      <c r="E20" s="67" t="s">
        <v>32</v>
      </c>
      <c r="F20" s="69">
        <v>2500.0</v>
      </c>
      <c r="G20" s="70" t="s">
        <v>33</v>
      </c>
      <c r="H20" s="70" t="s">
        <v>28</v>
      </c>
      <c r="I20" s="71"/>
    </row>
    <row r="21" ht="17.25" customHeight="1">
      <c r="A21" s="61"/>
      <c r="B21" s="63" t="b">
        <v>0</v>
      </c>
      <c r="C21" s="64">
        <v>14.0</v>
      </c>
      <c r="D21" s="66">
        <v>45398.0</v>
      </c>
      <c r="E21" s="67" t="s">
        <v>32</v>
      </c>
      <c r="F21" s="69">
        <v>2000.0</v>
      </c>
      <c r="G21" s="70" t="s">
        <v>33</v>
      </c>
      <c r="H21" s="70" t="s">
        <v>28</v>
      </c>
      <c r="I21" s="71"/>
    </row>
    <row r="22" ht="17.25" customHeight="1">
      <c r="A22" s="61"/>
      <c r="B22" s="63" t="b">
        <v>0</v>
      </c>
      <c r="C22" s="64">
        <v>15.0</v>
      </c>
      <c r="D22" s="66">
        <v>45398.0</v>
      </c>
      <c r="E22" s="67" t="s">
        <v>35</v>
      </c>
      <c r="F22" s="69">
        <v>2000.0</v>
      </c>
      <c r="G22" s="70" t="s">
        <v>33</v>
      </c>
      <c r="H22" s="70" t="s">
        <v>28</v>
      </c>
      <c r="I22" s="71"/>
    </row>
    <row r="23" ht="17.25" customHeight="1">
      <c r="A23" s="61"/>
      <c r="B23" s="63" t="b">
        <v>0</v>
      </c>
      <c r="C23" s="64">
        <v>16.0</v>
      </c>
      <c r="D23" s="66">
        <v>45399.0</v>
      </c>
      <c r="E23" s="67" t="s">
        <v>32</v>
      </c>
      <c r="F23" s="69">
        <v>201465.0</v>
      </c>
      <c r="G23" s="70" t="s">
        <v>36</v>
      </c>
      <c r="H23" s="70" t="s">
        <v>28</v>
      </c>
      <c r="I23" s="71"/>
    </row>
    <row r="24" ht="17.25" customHeight="1">
      <c r="A24" s="61"/>
      <c r="B24" s="63" t="b">
        <v>0</v>
      </c>
      <c r="C24" s="64">
        <v>17.0</v>
      </c>
      <c r="D24" s="66">
        <v>45400.0</v>
      </c>
      <c r="E24" s="67" t="s">
        <v>32</v>
      </c>
      <c r="F24" s="69">
        <v>2000.0</v>
      </c>
      <c r="G24" s="70" t="s">
        <v>33</v>
      </c>
      <c r="H24" s="70" t="s">
        <v>28</v>
      </c>
      <c r="I24" s="71"/>
    </row>
    <row r="25" ht="17.25" customHeight="1">
      <c r="A25" s="61"/>
      <c r="B25" s="63" t="b">
        <v>0</v>
      </c>
      <c r="C25" s="64">
        <v>18.0</v>
      </c>
      <c r="D25" s="66">
        <v>45400.0</v>
      </c>
      <c r="E25" s="67" t="s">
        <v>25</v>
      </c>
      <c r="F25" s="69">
        <v>2000.0</v>
      </c>
      <c r="G25" s="70" t="s">
        <v>33</v>
      </c>
      <c r="H25" s="70" t="s">
        <v>28</v>
      </c>
      <c r="I25" s="71"/>
    </row>
    <row r="26" ht="17.25" customHeight="1">
      <c r="A26" s="61"/>
      <c r="B26" s="63" t="b">
        <v>0</v>
      </c>
      <c r="C26" s="64">
        <v>19.0</v>
      </c>
      <c r="D26" s="66">
        <v>45402.0</v>
      </c>
      <c r="E26" s="67" t="s">
        <v>32</v>
      </c>
      <c r="F26" s="69">
        <v>12000.0</v>
      </c>
      <c r="G26" s="70" t="s">
        <v>45</v>
      </c>
      <c r="H26" s="70" t="s">
        <v>28</v>
      </c>
      <c r="I26" s="71"/>
    </row>
    <row r="27" ht="17.25" customHeight="1">
      <c r="A27" s="61"/>
      <c r="B27" s="63" t="b">
        <v>0</v>
      </c>
      <c r="C27" s="64">
        <v>20.0</v>
      </c>
      <c r="D27" s="66">
        <v>45402.0</v>
      </c>
      <c r="E27" s="67" t="s">
        <v>32</v>
      </c>
      <c r="F27" s="69">
        <v>2000.0</v>
      </c>
      <c r="G27" s="70" t="s">
        <v>33</v>
      </c>
      <c r="H27" s="70" t="s">
        <v>28</v>
      </c>
      <c r="I27" s="71"/>
    </row>
    <row r="28" ht="17.25" customHeight="1">
      <c r="A28" s="61"/>
      <c r="B28" s="63" t="b">
        <v>0</v>
      </c>
      <c r="C28" s="64">
        <v>21.0</v>
      </c>
      <c r="D28" s="66">
        <v>45402.0</v>
      </c>
      <c r="E28" s="67" t="s">
        <v>55</v>
      </c>
      <c r="F28" s="69">
        <v>33000.0</v>
      </c>
      <c r="G28" s="70" t="s">
        <v>56</v>
      </c>
      <c r="H28" s="70" t="s">
        <v>28</v>
      </c>
      <c r="I28" s="71"/>
    </row>
    <row r="29" ht="17.25" customHeight="1">
      <c r="A29" s="61"/>
      <c r="B29" s="63" t="b">
        <v>0</v>
      </c>
      <c r="C29" s="64">
        <v>22.0</v>
      </c>
      <c r="D29" s="66">
        <v>45402.0</v>
      </c>
      <c r="E29" s="67" t="s">
        <v>25</v>
      </c>
      <c r="F29" s="69">
        <v>33000.0</v>
      </c>
      <c r="G29" s="70" t="s">
        <v>57</v>
      </c>
      <c r="H29" s="70" t="s">
        <v>28</v>
      </c>
      <c r="I29" s="71"/>
    </row>
    <row r="30" ht="17.25" customHeight="1">
      <c r="A30" s="61"/>
      <c r="B30" s="63" t="b">
        <v>0</v>
      </c>
      <c r="C30" s="64">
        <v>23.0</v>
      </c>
      <c r="D30" s="66">
        <v>45402.0</v>
      </c>
      <c r="E30" s="67" t="s">
        <v>32</v>
      </c>
      <c r="F30" s="69">
        <v>35000.0</v>
      </c>
      <c r="G30" s="70" t="s">
        <v>26</v>
      </c>
      <c r="H30" s="70" t="s">
        <v>28</v>
      </c>
      <c r="I30" s="71"/>
    </row>
    <row r="31" ht="17.25" customHeight="1">
      <c r="A31" s="61"/>
      <c r="B31" s="63" t="b">
        <v>0</v>
      </c>
      <c r="C31" s="64">
        <v>24.0</v>
      </c>
      <c r="D31" s="66">
        <v>45402.0</v>
      </c>
      <c r="E31" s="67" t="s">
        <v>59</v>
      </c>
      <c r="F31" s="69">
        <v>18900.0</v>
      </c>
      <c r="G31" s="70" t="s">
        <v>60</v>
      </c>
      <c r="H31" s="70" t="s">
        <v>28</v>
      </c>
      <c r="I31" s="71"/>
    </row>
    <row r="32" ht="17.25" customHeight="1">
      <c r="A32" s="61"/>
      <c r="B32" s="63" t="b">
        <v>0</v>
      </c>
      <c r="C32" s="64">
        <v>25.0</v>
      </c>
      <c r="D32" s="66">
        <v>45403.0</v>
      </c>
      <c r="E32" s="67" t="s">
        <v>32</v>
      </c>
      <c r="F32" s="69">
        <v>2000.0</v>
      </c>
      <c r="G32" s="70" t="s">
        <v>61</v>
      </c>
      <c r="H32" s="70" t="s">
        <v>28</v>
      </c>
      <c r="I32" s="71"/>
    </row>
    <row r="33" ht="17.25" customHeight="1">
      <c r="A33" s="61"/>
      <c r="B33" s="63" t="b">
        <v>0</v>
      </c>
      <c r="C33" s="64">
        <v>26.0</v>
      </c>
      <c r="D33" s="66">
        <v>45404.0</v>
      </c>
      <c r="E33" s="67" t="s">
        <v>32</v>
      </c>
      <c r="F33" s="69">
        <v>2000.0</v>
      </c>
      <c r="G33" s="70" t="s">
        <v>33</v>
      </c>
      <c r="H33" s="70" t="s">
        <v>28</v>
      </c>
      <c r="I33" s="71"/>
    </row>
    <row r="34" ht="17.25" customHeight="1">
      <c r="A34" s="61"/>
      <c r="B34" s="63" t="b">
        <v>0</v>
      </c>
      <c r="C34" s="64">
        <v>27.0</v>
      </c>
      <c r="D34" s="66">
        <v>45405.0</v>
      </c>
      <c r="E34" s="67" t="s">
        <v>32</v>
      </c>
      <c r="F34" s="69">
        <v>2000.0</v>
      </c>
      <c r="G34" s="70" t="s">
        <v>33</v>
      </c>
      <c r="H34" s="70" t="s">
        <v>28</v>
      </c>
      <c r="I34" s="71"/>
    </row>
    <row r="35" ht="17.25" customHeight="1">
      <c r="A35" s="61"/>
      <c r="B35" s="63" t="b">
        <v>0</v>
      </c>
      <c r="C35" s="64">
        <v>28.0</v>
      </c>
      <c r="D35" s="66">
        <v>45406.0</v>
      </c>
      <c r="E35" s="67" t="s">
        <v>32</v>
      </c>
      <c r="F35" s="69">
        <v>2000.0</v>
      </c>
      <c r="G35" s="70" t="s">
        <v>33</v>
      </c>
      <c r="H35" s="70" t="s">
        <v>28</v>
      </c>
      <c r="I35" s="71"/>
    </row>
    <row r="36" ht="17.25" customHeight="1">
      <c r="A36" s="61"/>
      <c r="B36" s="63" t="b">
        <v>0</v>
      </c>
      <c r="C36" s="64">
        <v>29.0</v>
      </c>
      <c r="D36" s="66">
        <v>45407.0</v>
      </c>
      <c r="E36" s="67" t="s">
        <v>32</v>
      </c>
      <c r="F36" s="69">
        <v>2000.0</v>
      </c>
      <c r="G36" s="70" t="s">
        <v>33</v>
      </c>
      <c r="H36" s="70" t="s">
        <v>28</v>
      </c>
      <c r="I36" s="71"/>
    </row>
    <row r="37" ht="17.25" customHeight="1">
      <c r="A37" s="61"/>
      <c r="B37" s="63" t="b">
        <v>0</v>
      </c>
      <c r="C37" s="64">
        <v>30.0</v>
      </c>
      <c r="D37" s="66">
        <v>45407.0</v>
      </c>
      <c r="E37" s="67" t="s">
        <v>35</v>
      </c>
      <c r="F37" s="69">
        <v>2000.0</v>
      </c>
      <c r="G37" s="70" t="s">
        <v>33</v>
      </c>
      <c r="H37" s="70" t="s">
        <v>28</v>
      </c>
      <c r="I37" s="71"/>
    </row>
    <row r="38" ht="17.25" customHeight="1">
      <c r="A38" s="61"/>
      <c r="B38" s="63" t="b">
        <v>0</v>
      </c>
      <c r="C38" s="64">
        <v>31.0</v>
      </c>
      <c r="D38" s="66">
        <v>45407.0</v>
      </c>
      <c r="E38" s="67" t="s">
        <v>64</v>
      </c>
      <c r="F38" s="69">
        <v>201480.0</v>
      </c>
      <c r="G38" s="70" t="s">
        <v>36</v>
      </c>
      <c r="H38" s="70" t="s">
        <v>28</v>
      </c>
      <c r="I38" s="71"/>
    </row>
    <row r="39" ht="17.25" customHeight="1">
      <c r="A39" s="61"/>
      <c r="B39" s="63" t="b">
        <v>0</v>
      </c>
      <c r="C39" s="64">
        <v>32.0</v>
      </c>
      <c r="D39" s="66">
        <v>45409.0</v>
      </c>
      <c r="E39" s="67" t="s">
        <v>32</v>
      </c>
      <c r="F39" s="69">
        <v>4000.0</v>
      </c>
      <c r="G39" s="70" t="s">
        <v>66</v>
      </c>
      <c r="H39" s="70" t="s">
        <v>28</v>
      </c>
      <c r="I39" s="71"/>
    </row>
    <row r="40" ht="17.25" customHeight="1">
      <c r="A40" s="61"/>
      <c r="B40" s="63" t="b">
        <v>0</v>
      </c>
      <c r="C40" s="64">
        <v>33.0</v>
      </c>
      <c r="D40" s="66">
        <v>45410.0</v>
      </c>
      <c r="E40" s="67" t="s">
        <v>32</v>
      </c>
      <c r="F40" s="69">
        <v>2000.0</v>
      </c>
      <c r="G40" s="70" t="s">
        <v>33</v>
      </c>
      <c r="H40" s="70" t="s">
        <v>28</v>
      </c>
      <c r="I40" s="71"/>
    </row>
    <row r="41" ht="17.25" customHeight="1">
      <c r="A41" s="61"/>
      <c r="B41" s="63" t="b">
        <v>0</v>
      </c>
      <c r="C41" s="64">
        <v>34.0</v>
      </c>
      <c r="D41" s="66">
        <v>45411.0</v>
      </c>
      <c r="E41" s="67" t="s">
        <v>32</v>
      </c>
      <c r="F41" s="69">
        <v>2000.0</v>
      </c>
      <c r="G41" s="70" t="s">
        <v>33</v>
      </c>
      <c r="H41" s="70" t="s">
        <v>28</v>
      </c>
      <c r="I41" s="71"/>
    </row>
    <row r="42" ht="17.25" customHeight="1">
      <c r="A42" s="61"/>
      <c r="B42" s="63" t="b">
        <v>0</v>
      </c>
      <c r="C42" s="64">
        <v>35.0</v>
      </c>
      <c r="D42" s="66">
        <v>45412.0</v>
      </c>
      <c r="E42" s="67" t="s">
        <v>55</v>
      </c>
      <c r="F42" s="69">
        <v>2500.0</v>
      </c>
      <c r="G42" s="70" t="s">
        <v>33</v>
      </c>
      <c r="H42" s="70" t="s">
        <v>28</v>
      </c>
      <c r="I42" s="71"/>
    </row>
    <row r="43" ht="17.25" customHeight="1">
      <c r="A43" s="61"/>
      <c r="B43" s="63" t="b">
        <v>0</v>
      </c>
      <c r="C43" s="64">
        <v>36.0</v>
      </c>
      <c r="D43" s="66">
        <v>45412.0</v>
      </c>
      <c r="E43" s="67" t="s">
        <v>55</v>
      </c>
      <c r="F43" s="69">
        <v>2500.0</v>
      </c>
      <c r="G43" s="70" t="s">
        <v>33</v>
      </c>
      <c r="H43" s="70" t="s">
        <v>28</v>
      </c>
      <c r="I43" s="71"/>
    </row>
    <row r="44" ht="17.25" customHeight="1">
      <c r="A44" s="61"/>
      <c r="B44" s="63" t="b">
        <v>0</v>
      </c>
      <c r="C44" s="64">
        <v>37.0</v>
      </c>
      <c r="D44" s="66">
        <v>45414.0</v>
      </c>
      <c r="E44" s="67" t="s">
        <v>68</v>
      </c>
      <c r="F44" s="69">
        <v>5000.0</v>
      </c>
      <c r="G44" s="70" t="s">
        <v>69</v>
      </c>
      <c r="H44" s="70" t="s">
        <v>28</v>
      </c>
      <c r="I44" s="71"/>
    </row>
    <row r="45" ht="17.25" customHeight="1">
      <c r="A45" s="61"/>
      <c r="B45" s="63" t="b">
        <v>0</v>
      </c>
      <c r="C45" s="64">
        <v>38.0</v>
      </c>
      <c r="D45" s="66">
        <v>45414.0</v>
      </c>
      <c r="E45" s="67" t="s">
        <v>55</v>
      </c>
      <c r="F45" s="69">
        <v>2000.0</v>
      </c>
      <c r="G45" s="70" t="s">
        <v>33</v>
      </c>
      <c r="H45" s="70" t="s">
        <v>28</v>
      </c>
      <c r="I45" s="71"/>
    </row>
    <row r="46" ht="17.25" customHeight="1">
      <c r="A46" s="61"/>
      <c r="B46" s="63" t="b">
        <v>0</v>
      </c>
      <c r="C46" s="64">
        <v>39.0</v>
      </c>
      <c r="D46" s="66">
        <v>45416.0</v>
      </c>
      <c r="E46" s="67" t="s">
        <v>55</v>
      </c>
      <c r="F46" s="69">
        <v>33000.0</v>
      </c>
      <c r="G46" s="70" t="s">
        <v>71</v>
      </c>
      <c r="H46" s="70" t="s">
        <v>28</v>
      </c>
      <c r="I46" s="71"/>
    </row>
    <row r="47" ht="17.25" customHeight="1">
      <c r="A47" s="61"/>
      <c r="B47" s="63" t="b">
        <v>0</v>
      </c>
      <c r="C47" s="64">
        <v>40.0</v>
      </c>
      <c r="D47" s="66">
        <v>45416.0</v>
      </c>
      <c r="E47" s="67" t="s">
        <v>55</v>
      </c>
      <c r="F47" s="69">
        <v>2000.0</v>
      </c>
      <c r="G47" s="70" t="s">
        <v>33</v>
      </c>
      <c r="H47" s="70" t="s">
        <v>28</v>
      </c>
      <c r="I47" s="71"/>
    </row>
    <row r="48" ht="17.25" customHeight="1">
      <c r="A48" s="61"/>
      <c r="B48" s="63" t="b">
        <v>0</v>
      </c>
      <c r="C48" s="64">
        <v>41.0</v>
      </c>
      <c r="D48" s="66">
        <v>45416.0</v>
      </c>
      <c r="E48" s="67" t="s">
        <v>25</v>
      </c>
      <c r="F48" s="69">
        <v>16500.0</v>
      </c>
      <c r="G48" s="70" t="s">
        <v>45</v>
      </c>
      <c r="H48" s="70" t="s">
        <v>28</v>
      </c>
      <c r="I48" s="71"/>
    </row>
    <row r="49" ht="17.25" customHeight="1">
      <c r="A49" s="61"/>
      <c r="B49" s="63" t="b">
        <v>0</v>
      </c>
      <c r="C49" s="64">
        <v>42.0</v>
      </c>
      <c r="D49" s="66">
        <v>45418.0</v>
      </c>
      <c r="E49" s="67" t="s">
        <v>55</v>
      </c>
      <c r="F49" s="69">
        <v>2500.0</v>
      </c>
      <c r="G49" s="70" t="s">
        <v>33</v>
      </c>
      <c r="H49" s="70" t="s">
        <v>28</v>
      </c>
      <c r="I49" s="71"/>
    </row>
    <row r="50" ht="17.25" customHeight="1">
      <c r="A50" s="61"/>
      <c r="B50" s="63" t="b">
        <v>0</v>
      </c>
      <c r="C50" s="64">
        <v>43.0</v>
      </c>
      <c r="D50" s="66">
        <v>45419.0</v>
      </c>
      <c r="E50" s="67" t="s">
        <v>55</v>
      </c>
      <c r="F50" s="69">
        <v>2000.0</v>
      </c>
      <c r="G50" s="70" t="s">
        <v>33</v>
      </c>
      <c r="H50" s="70" t="s">
        <v>28</v>
      </c>
      <c r="I50" s="71"/>
    </row>
    <row r="51" ht="17.25" customHeight="1">
      <c r="A51" s="61"/>
      <c r="B51" s="63" t="b">
        <v>0</v>
      </c>
      <c r="C51" s="64">
        <v>44.0</v>
      </c>
      <c r="D51" s="66">
        <v>45419.0</v>
      </c>
      <c r="E51" s="67" t="s">
        <v>86</v>
      </c>
      <c r="F51" s="69">
        <v>280000.0</v>
      </c>
      <c r="G51" s="70" t="s">
        <v>88</v>
      </c>
      <c r="H51" s="70" t="s">
        <v>28</v>
      </c>
      <c r="I51" s="71"/>
    </row>
    <row r="52" ht="17.25" customHeight="1">
      <c r="A52" s="61"/>
      <c r="B52" s="63" t="b">
        <v>0</v>
      </c>
      <c r="C52" s="64">
        <v>45.0</v>
      </c>
      <c r="D52" s="66">
        <v>45419.0</v>
      </c>
      <c r="E52" s="67" t="s">
        <v>89</v>
      </c>
      <c r="F52" s="69">
        <v>95000.0</v>
      </c>
      <c r="G52" s="70" t="s">
        <v>90</v>
      </c>
      <c r="H52" s="70" t="s">
        <v>28</v>
      </c>
      <c r="I52" s="71"/>
    </row>
    <row r="53" ht="17.25" customHeight="1">
      <c r="A53" s="61"/>
      <c r="B53" s="63" t="b">
        <v>0</v>
      </c>
      <c r="C53" s="64">
        <v>46.0</v>
      </c>
      <c r="D53" s="66">
        <v>45420.0</v>
      </c>
      <c r="E53" s="67" t="s">
        <v>55</v>
      </c>
      <c r="F53" s="69">
        <v>2000.0</v>
      </c>
      <c r="G53" s="70" t="s">
        <v>33</v>
      </c>
      <c r="H53" s="70" t="s">
        <v>28</v>
      </c>
      <c r="I53" s="71"/>
    </row>
    <row r="54" ht="17.25" customHeight="1">
      <c r="A54" s="61"/>
      <c r="B54" s="63" t="b">
        <v>0</v>
      </c>
      <c r="C54" s="64">
        <v>47.0</v>
      </c>
      <c r="D54" s="66">
        <v>45420.0</v>
      </c>
      <c r="E54" s="67" t="s">
        <v>86</v>
      </c>
      <c r="F54" s="69">
        <v>380000.0</v>
      </c>
      <c r="G54" s="70" t="s">
        <v>91</v>
      </c>
      <c r="H54" s="70" t="s">
        <v>28</v>
      </c>
      <c r="I54" s="71"/>
    </row>
    <row r="55" ht="17.25" customHeight="1">
      <c r="A55" s="61"/>
      <c r="B55" s="63" t="b">
        <v>0</v>
      </c>
      <c r="C55" s="64">
        <v>48.0</v>
      </c>
      <c r="D55" s="66">
        <v>45420.0</v>
      </c>
      <c r="E55" s="67" t="s">
        <v>35</v>
      </c>
      <c r="F55" s="69">
        <v>201908.0</v>
      </c>
      <c r="G55" s="70" t="s">
        <v>36</v>
      </c>
      <c r="H55" s="70" t="s">
        <v>28</v>
      </c>
      <c r="I55" s="71"/>
    </row>
    <row r="56" ht="17.25" customHeight="1">
      <c r="A56" s="61"/>
      <c r="B56" s="63" t="b">
        <v>0</v>
      </c>
      <c r="C56" s="64">
        <v>49.0</v>
      </c>
      <c r="D56" s="66">
        <v>45423.0</v>
      </c>
      <c r="E56" s="67" t="s">
        <v>55</v>
      </c>
      <c r="F56" s="69">
        <v>2000.0</v>
      </c>
      <c r="G56" s="70" t="s">
        <v>33</v>
      </c>
      <c r="H56" s="70" t="s">
        <v>28</v>
      </c>
      <c r="I56" s="71"/>
    </row>
    <row r="57" ht="17.25" customHeight="1">
      <c r="A57" s="61"/>
      <c r="B57" s="63" t="b">
        <v>0</v>
      </c>
      <c r="C57" s="64">
        <v>50.0</v>
      </c>
      <c r="D57" s="66">
        <v>45424.0</v>
      </c>
      <c r="E57" s="67" t="s">
        <v>55</v>
      </c>
      <c r="F57" s="69">
        <v>2000.0</v>
      </c>
      <c r="G57" s="70" t="s">
        <v>33</v>
      </c>
      <c r="H57" s="70" t="s">
        <v>28</v>
      </c>
      <c r="I57" s="71"/>
    </row>
    <row r="58" ht="17.25" customHeight="1">
      <c r="A58" s="61"/>
      <c r="B58" s="63" t="b">
        <v>0</v>
      </c>
      <c r="C58" s="64">
        <v>51.0</v>
      </c>
      <c r="D58" s="66">
        <v>45424.0</v>
      </c>
      <c r="E58" s="67" t="s">
        <v>89</v>
      </c>
      <c r="F58" s="69">
        <v>120000.0</v>
      </c>
      <c r="G58" s="70" t="s">
        <v>93</v>
      </c>
      <c r="H58" s="70" t="s">
        <v>28</v>
      </c>
      <c r="I58" s="71"/>
    </row>
    <row r="59" ht="17.25" customHeight="1">
      <c r="A59" s="61"/>
      <c r="B59" s="63" t="b">
        <v>0</v>
      </c>
      <c r="C59" s="64">
        <v>52.0</v>
      </c>
      <c r="D59" s="66">
        <v>45425.0</v>
      </c>
      <c r="E59" s="67" t="s">
        <v>25</v>
      </c>
      <c r="F59" s="69">
        <v>16500.0</v>
      </c>
      <c r="G59" s="70" t="s">
        <v>45</v>
      </c>
      <c r="H59" s="70" t="s">
        <v>28</v>
      </c>
      <c r="I59" s="71"/>
    </row>
    <row r="60" ht="17.25" customHeight="1">
      <c r="A60" s="61"/>
      <c r="B60" s="63" t="b">
        <v>0</v>
      </c>
      <c r="C60" s="64">
        <v>53.0</v>
      </c>
      <c r="D60" s="66">
        <v>45425.0</v>
      </c>
      <c r="E60" s="67" t="s">
        <v>55</v>
      </c>
      <c r="F60" s="69">
        <v>2000.0</v>
      </c>
      <c r="G60" s="70" t="s">
        <v>33</v>
      </c>
      <c r="H60" s="70" t="s">
        <v>28</v>
      </c>
      <c r="I60" s="71"/>
    </row>
    <row r="61" ht="17.25" customHeight="1">
      <c r="A61" s="61"/>
      <c r="B61" s="63" t="b">
        <v>0</v>
      </c>
      <c r="C61" s="64">
        <v>54.0</v>
      </c>
      <c r="D61" s="66">
        <v>45426.0</v>
      </c>
      <c r="E61" s="67" t="s">
        <v>55</v>
      </c>
      <c r="F61" s="69">
        <v>2000.0</v>
      </c>
      <c r="G61" s="70" t="s">
        <v>33</v>
      </c>
      <c r="H61" s="70" t="s">
        <v>28</v>
      </c>
      <c r="I61" s="71"/>
    </row>
    <row r="62" ht="17.25" customHeight="1">
      <c r="A62" s="61"/>
      <c r="B62" s="63" t="b">
        <v>0</v>
      </c>
      <c r="C62" s="64">
        <v>55.0</v>
      </c>
      <c r="D62" s="66">
        <v>45426.0</v>
      </c>
      <c r="E62" s="67" t="s">
        <v>25</v>
      </c>
      <c r="F62" s="69">
        <v>32500.0</v>
      </c>
      <c r="G62" s="70" t="s">
        <v>26</v>
      </c>
      <c r="H62" s="70" t="s">
        <v>28</v>
      </c>
      <c r="I62" s="71"/>
    </row>
    <row r="63" ht="17.25" customHeight="1">
      <c r="A63" s="61"/>
      <c r="B63" s="63" t="b">
        <v>0</v>
      </c>
      <c r="C63" s="64">
        <v>56.0</v>
      </c>
      <c r="D63" s="66">
        <v>45426.0</v>
      </c>
      <c r="E63" s="67" t="s">
        <v>59</v>
      </c>
      <c r="F63" s="69">
        <v>2000.0</v>
      </c>
      <c r="G63" s="70" t="s">
        <v>61</v>
      </c>
      <c r="H63" s="70" t="s">
        <v>28</v>
      </c>
      <c r="I63" s="71"/>
    </row>
    <row r="64" ht="17.25" customHeight="1">
      <c r="A64" s="61"/>
      <c r="B64" s="63" t="b">
        <v>0</v>
      </c>
      <c r="C64" s="64">
        <v>57.0</v>
      </c>
      <c r="D64" s="66">
        <v>45426.0</v>
      </c>
      <c r="E64" s="67" t="s">
        <v>25</v>
      </c>
      <c r="F64" s="69">
        <v>25400.0</v>
      </c>
      <c r="G64" s="70" t="s">
        <v>30</v>
      </c>
      <c r="H64" s="70" t="s">
        <v>28</v>
      </c>
      <c r="I64" s="71"/>
    </row>
    <row r="65" ht="17.25" customHeight="1">
      <c r="A65" s="61"/>
      <c r="B65" s="63" t="b">
        <v>0</v>
      </c>
      <c r="C65" s="64">
        <v>58.0</v>
      </c>
      <c r="D65" s="66">
        <v>45426.0</v>
      </c>
      <c r="E65" s="67" t="s">
        <v>64</v>
      </c>
      <c r="F65" s="69">
        <v>4000.0</v>
      </c>
      <c r="G65" s="70" t="s">
        <v>66</v>
      </c>
      <c r="H65" s="70" t="s">
        <v>28</v>
      </c>
      <c r="I65" s="71"/>
    </row>
    <row r="66" ht="17.25" customHeight="1">
      <c r="A66" s="61"/>
      <c r="B66" s="63" t="b">
        <v>0</v>
      </c>
      <c r="C66" s="64">
        <v>59.0</v>
      </c>
      <c r="D66" s="66">
        <v>45426.0</v>
      </c>
      <c r="E66" s="67" t="s">
        <v>64</v>
      </c>
      <c r="F66" s="69">
        <v>2000.0</v>
      </c>
      <c r="G66" s="70" t="s">
        <v>97</v>
      </c>
      <c r="H66" s="70" t="s">
        <v>28</v>
      </c>
      <c r="I66" s="71"/>
    </row>
    <row r="67" ht="17.25" customHeight="1">
      <c r="A67" s="61"/>
      <c r="B67" s="63" t="b">
        <v>0</v>
      </c>
      <c r="C67" s="64">
        <v>60.0</v>
      </c>
      <c r="D67" s="66">
        <v>45426.0</v>
      </c>
      <c r="E67" s="67" t="s">
        <v>55</v>
      </c>
      <c r="F67" s="69">
        <v>376000.0</v>
      </c>
      <c r="G67" s="70" t="s">
        <v>99</v>
      </c>
      <c r="H67" s="70" t="s">
        <v>28</v>
      </c>
      <c r="I67" s="71"/>
    </row>
    <row r="68" ht="17.25" customHeight="1">
      <c r="A68" s="61"/>
      <c r="B68" s="63" t="b">
        <v>0</v>
      </c>
      <c r="C68" s="64">
        <v>61.0</v>
      </c>
      <c r="D68" s="66">
        <v>45428.0</v>
      </c>
      <c r="E68" s="67" t="s">
        <v>55</v>
      </c>
      <c r="F68" s="69">
        <v>35000.0</v>
      </c>
      <c r="G68" s="70" t="s">
        <v>100</v>
      </c>
      <c r="H68" s="70" t="s">
        <v>28</v>
      </c>
      <c r="I68" s="71"/>
    </row>
    <row r="69" ht="17.25" customHeight="1">
      <c r="A69" s="61"/>
      <c r="B69" s="63" t="b">
        <v>0</v>
      </c>
      <c r="C69" s="64">
        <v>62.0</v>
      </c>
      <c r="D69" s="66">
        <v>45428.0</v>
      </c>
      <c r="E69" s="67" t="s">
        <v>55</v>
      </c>
      <c r="F69" s="69">
        <v>2500.0</v>
      </c>
      <c r="G69" s="70" t="s">
        <v>33</v>
      </c>
      <c r="H69" s="70" t="s">
        <v>28</v>
      </c>
      <c r="I69" s="71"/>
    </row>
    <row r="70" ht="17.25" customHeight="1">
      <c r="A70" s="61"/>
      <c r="B70" s="63" t="b">
        <v>0</v>
      </c>
      <c r="C70" s="64">
        <v>63.0</v>
      </c>
      <c r="D70" s="66">
        <v>45430.0</v>
      </c>
      <c r="E70" s="67" t="s">
        <v>55</v>
      </c>
      <c r="F70" s="69">
        <v>2500.0</v>
      </c>
      <c r="G70" s="70" t="s">
        <v>33</v>
      </c>
      <c r="H70" s="70" t="s">
        <v>28</v>
      </c>
      <c r="I70" s="71"/>
    </row>
    <row r="71" ht="17.25" customHeight="1">
      <c r="A71" s="61"/>
      <c r="B71" s="63" t="b">
        <v>0</v>
      </c>
      <c r="C71" s="64">
        <v>64.0</v>
      </c>
      <c r="D71" s="66">
        <v>45430.0</v>
      </c>
      <c r="E71" s="67" t="s">
        <v>25</v>
      </c>
      <c r="F71" s="69">
        <v>16500.0</v>
      </c>
      <c r="G71" s="70" t="s">
        <v>45</v>
      </c>
      <c r="H71" s="70" t="s">
        <v>28</v>
      </c>
      <c r="I71" s="71"/>
    </row>
    <row r="72" ht="17.25" customHeight="1">
      <c r="A72" s="61"/>
      <c r="B72" s="63" t="b">
        <v>0</v>
      </c>
      <c r="C72" s="64">
        <v>65.0</v>
      </c>
      <c r="D72" s="66">
        <v>45431.0</v>
      </c>
      <c r="E72" s="67" t="s">
        <v>55</v>
      </c>
      <c r="F72" s="69">
        <v>2000.0</v>
      </c>
      <c r="G72" s="70" t="s">
        <v>33</v>
      </c>
      <c r="H72" s="70" t="s">
        <v>28</v>
      </c>
      <c r="I72" s="71"/>
    </row>
    <row r="73" ht="17.25" customHeight="1">
      <c r="A73" s="61"/>
      <c r="B73" s="63" t="b">
        <v>0</v>
      </c>
      <c r="C73" s="64">
        <v>66.0</v>
      </c>
      <c r="D73" s="66">
        <v>45432.0</v>
      </c>
      <c r="E73" s="67" t="s">
        <v>55</v>
      </c>
      <c r="F73" s="69">
        <v>2500.0</v>
      </c>
      <c r="G73" s="70" t="s">
        <v>33</v>
      </c>
      <c r="H73" s="70" t="s">
        <v>28</v>
      </c>
      <c r="I73" s="71"/>
    </row>
    <row r="74" ht="17.25" customHeight="1">
      <c r="A74" s="61"/>
      <c r="B74" s="63" t="b">
        <v>0</v>
      </c>
      <c r="C74" s="64">
        <v>67.0</v>
      </c>
      <c r="D74" s="66">
        <v>45432.0</v>
      </c>
      <c r="E74" s="67" t="s">
        <v>35</v>
      </c>
      <c r="F74" s="69">
        <v>201910.0</v>
      </c>
      <c r="G74" s="70" t="s">
        <v>36</v>
      </c>
      <c r="H74" s="70" t="s">
        <v>28</v>
      </c>
      <c r="I74" s="71"/>
    </row>
    <row r="75" ht="17.25" customHeight="1">
      <c r="A75" s="61"/>
      <c r="B75" s="63" t="b">
        <v>0</v>
      </c>
      <c r="C75" s="64">
        <v>68.0</v>
      </c>
      <c r="D75" s="66">
        <v>45433.0</v>
      </c>
      <c r="E75" s="67" t="s">
        <v>55</v>
      </c>
      <c r="F75" s="69">
        <v>13000.0</v>
      </c>
      <c r="G75" s="70" t="s">
        <v>103</v>
      </c>
      <c r="H75" s="70" t="s">
        <v>28</v>
      </c>
      <c r="I75" s="71"/>
    </row>
    <row r="76" ht="17.25" customHeight="1">
      <c r="A76" s="61"/>
      <c r="B76" s="63" t="b">
        <v>0</v>
      </c>
      <c r="C76" s="64">
        <v>69.0</v>
      </c>
      <c r="D76" s="66">
        <v>45433.0</v>
      </c>
      <c r="E76" s="67" t="s">
        <v>55</v>
      </c>
      <c r="F76" s="69">
        <v>2500.0</v>
      </c>
      <c r="G76" s="70" t="s">
        <v>33</v>
      </c>
      <c r="H76" s="70" t="s">
        <v>28</v>
      </c>
      <c r="I76" s="71"/>
    </row>
    <row r="77" ht="17.25" customHeight="1">
      <c r="A77" s="61"/>
      <c r="B77" s="63" t="b">
        <v>0</v>
      </c>
      <c r="C77" s="64">
        <v>70.0</v>
      </c>
      <c r="D77" s="66">
        <v>45434.0</v>
      </c>
      <c r="E77" s="67" t="s">
        <v>55</v>
      </c>
      <c r="F77" s="69">
        <v>2500.0</v>
      </c>
      <c r="G77" s="70" t="s">
        <v>33</v>
      </c>
      <c r="H77" s="70" t="s">
        <v>28</v>
      </c>
      <c r="I77" s="71"/>
    </row>
    <row r="78" ht="17.25" customHeight="1">
      <c r="A78" s="61"/>
      <c r="B78" s="63" t="b">
        <v>0</v>
      </c>
      <c r="C78" s="64">
        <v>71.0</v>
      </c>
      <c r="D78" s="66">
        <v>45437.0</v>
      </c>
      <c r="E78" s="67" t="s">
        <v>55</v>
      </c>
      <c r="F78" s="69">
        <v>2500.0</v>
      </c>
      <c r="G78" s="70" t="s">
        <v>33</v>
      </c>
      <c r="H78" s="70" t="s">
        <v>28</v>
      </c>
      <c r="I78" s="71"/>
    </row>
    <row r="79" ht="17.25" customHeight="1">
      <c r="A79" s="61"/>
      <c r="B79" s="63" t="b">
        <v>0</v>
      </c>
      <c r="C79" s="64">
        <v>72.0</v>
      </c>
      <c r="D79" s="66">
        <v>45437.0</v>
      </c>
      <c r="E79" s="67" t="s">
        <v>55</v>
      </c>
      <c r="F79" s="69">
        <v>35000.0</v>
      </c>
      <c r="G79" s="70" t="s">
        <v>100</v>
      </c>
      <c r="H79" s="70" t="s">
        <v>28</v>
      </c>
      <c r="I79" s="71"/>
    </row>
    <row r="80" ht="17.25" customHeight="1">
      <c r="A80" s="61"/>
      <c r="B80" s="63" t="b">
        <v>0</v>
      </c>
      <c r="C80" s="64">
        <v>73.0</v>
      </c>
      <c r="D80" s="66">
        <v>45437.0</v>
      </c>
      <c r="E80" s="67" t="s">
        <v>105</v>
      </c>
      <c r="F80" s="69">
        <v>27000.0</v>
      </c>
      <c r="G80" s="70" t="s">
        <v>106</v>
      </c>
      <c r="H80" s="70" t="s">
        <v>28</v>
      </c>
      <c r="I80" s="71"/>
    </row>
    <row r="81" ht="17.25" customHeight="1">
      <c r="A81" s="61"/>
      <c r="B81" s="63" t="b">
        <v>0</v>
      </c>
      <c r="C81" s="64">
        <v>74.0</v>
      </c>
      <c r="D81" s="66">
        <v>45439.0</v>
      </c>
      <c r="E81" s="67" t="s">
        <v>55</v>
      </c>
      <c r="F81" s="69">
        <v>2500.0</v>
      </c>
      <c r="G81" s="70" t="s">
        <v>33</v>
      </c>
      <c r="H81" s="70" t="s">
        <v>28</v>
      </c>
      <c r="I81" s="71"/>
    </row>
    <row r="82" ht="17.25" customHeight="1">
      <c r="A82" s="61"/>
      <c r="B82" s="63" t="b">
        <v>0</v>
      </c>
      <c r="C82" s="64">
        <v>75.0</v>
      </c>
      <c r="D82" s="66">
        <v>45440.0</v>
      </c>
      <c r="E82" s="67" t="s">
        <v>68</v>
      </c>
      <c r="F82" s="69">
        <v>30000.0</v>
      </c>
      <c r="G82" s="70" t="s">
        <v>107</v>
      </c>
      <c r="H82" s="70" t="s">
        <v>28</v>
      </c>
      <c r="I82" s="71"/>
    </row>
    <row r="83" ht="17.25" customHeight="1">
      <c r="A83" s="61"/>
      <c r="B83" s="63" t="b">
        <v>0</v>
      </c>
      <c r="C83" s="64">
        <v>76.0</v>
      </c>
      <c r="D83" s="66">
        <v>45440.0</v>
      </c>
      <c r="E83" s="67" t="s">
        <v>55</v>
      </c>
      <c r="F83" s="69">
        <v>2500.0</v>
      </c>
      <c r="G83" s="70" t="s">
        <v>33</v>
      </c>
      <c r="H83" s="70" t="s">
        <v>28</v>
      </c>
      <c r="I83" s="71"/>
    </row>
    <row r="84" ht="17.25" customHeight="1">
      <c r="A84" s="61"/>
      <c r="B84" s="63" t="b">
        <v>0</v>
      </c>
      <c r="C84" s="64">
        <v>77.0</v>
      </c>
      <c r="D84" s="66">
        <v>45442.0</v>
      </c>
      <c r="E84" s="67" t="s">
        <v>55</v>
      </c>
      <c r="F84" s="69">
        <v>2500.0</v>
      </c>
      <c r="G84" s="70" t="s">
        <v>33</v>
      </c>
      <c r="H84" s="70" t="s">
        <v>28</v>
      </c>
      <c r="I84" s="71"/>
    </row>
    <row r="85" ht="17.25" customHeight="1">
      <c r="A85" s="61"/>
      <c r="B85" s="63" t="b">
        <v>0</v>
      </c>
      <c r="C85" s="64">
        <v>78.0</v>
      </c>
      <c r="D85" s="66">
        <v>45445.0</v>
      </c>
      <c r="E85" s="67" t="s">
        <v>55</v>
      </c>
      <c r="F85" s="69">
        <v>20000.0</v>
      </c>
      <c r="G85" s="70" t="s">
        <v>111</v>
      </c>
      <c r="H85" s="70" t="s">
        <v>28</v>
      </c>
      <c r="I85" s="71"/>
    </row>
    <row r="86" ht="17.25" customHeight="1">
      <c r="A86" s="61"/>
      <c r="B86" s="63" t="b">
        <v>0</v>
      </c>
      <c r="C86" s="64">
        <v>79.0</v>
      </c>
      <c r="D86" s="66">
        <v>45445.0</v>
      </c>
      <c r="E86" s="67" t="s">
        <v>86</v>
      </c>
      <c r="F86" s="69">
        <v>15000.0</v>
      </c>
      <c r="G86" s="70" t="s">
        <v>112</v>
      </c>
      <c r="H86" s="70" t="s">
        <v>28</v>
      </c>
      <c r="I86" s="71"/>
    </row>
    <row r="87" ht="17.25" customHeight="1">
      <c r="A87" s="61"/>
      <c r="B87" s="63" t="b">
        <v>0</v>
      </c>
      <c r="C87" s="64">
        <v>80.0</v>
      </c>
      <c r="D87" s="66">
        <v>45445.0</v>
      </c>
      <c r="E87" s="67" t="s">
        <v>86</v>
      </c>
      <c r="F87" s="69">
        <v>9000.0</v>
      </c>
      <c r="G87" s="70" t="s">
        <v>117</v>
      </c>
      <c r="H87" s="70" t="s">
        <v>28</v>
      </c>
      <c r="I87" s="71"/>
    </row>
    <row r="88" ht="17.25" customHeight="1">
      <c r="A88" s="61"/>
      <c r="B88" s="63" t="b">
        <v>0</v>
      </c>
      <c r="C88" s="64">
        <v>81.0</v>
      </c>
      <c r="D88" s="66">
        <v>45445.0</v>
      </c>
      <c r="E88" s="67" t="s">
        <v>55</v>
      </c>
      <c r="F88" s="69">
        <v>17000.0</v>
      </c>
      <c r="G88" s="70" t="s">
        <v>71</v>
      </c>
      <c r="H88" s="70" t="s">
        <v>28</v>
      </c>
      <c r="I88" s="71"/>
    </row>
    <row r="89" ht="17.25" customHeight="1">
      <c r="A89" s="61"/>
      <c r="B89" s="63" t="b">
        <v>0</v>
      </c>
      <c r="C89" s="64">
        <v>82.0</v>
      </c>
      <c r="D89" s="66">
        <v>45446.0</v>
      </c>
      <c r="E89" s="67" t="s">
        <v>86</v>
      </c>
      <c r="F89" s="69">
        <v>15000.0</v>
      </c>
      <c r="G89" s="70" t="s">
        <v>118</v>
      </c>
      <c r="H89" s="70" t="s">
        <v>28</v>
      </c>
      <c r="I89" s="71"/>
    </row>
    <row r="90" ht="17.25" customHeight="1">
      <c r="A90" s="61"/>
      <c r="B90" s="63" t="b">
        <v>0</v>
      </c>
      <c r="C90" s="64">
        <v>83.0</v>
      </c>
      <c r="D90" s="66">
        <v>45446.0</v>
      </c>
      <c r="E90" s="67" t="s">
        <v>55</v>
      </c>
      <c r="F90" s="69">
        <v>201905.0</v>
      </c>
      <c r="G90" s="70" t="s">
        <v>36</v>
      </c>
      <c r="H90" s="70" t="s">
        <v>28</v>
      </c>
      <c r="I90" s="71"/>
    </row>
    <row r="91" ht="17.25" customHeight="1">
      <c r="A91" s="61"/>
      <c r="B91" s="63" t="b">
        <v>0</v>
      </c>
      <c r="C91" s="64">
        <v>84.0</v>
      </c>
      <c r="D91" s="66">
        <v>45446.0</v>
      </c>
      <c r="E91" s="67" t="s">
        <v>25</v>
      </c>
      <c r="F91" s="69">
        <v>16500.0</v>
      </c>
      <c r="G91" s="70" t="s">
        <v>45</v>
      </c>
      <c r="H91" s="70" t="s">
        <v>28</v>
      </c>
      <c r="I91" s="71"/>
    </row>
    <row r="92" ht="17.25" customHeight="1">
      <c r="A92" s="61"/>
      <c r="B92" s="63" t="b">
        <v>0</v>
      </c>
      <c r="C92" s="64">
        <v>85.0</v>
      </c>
      <c r="D92" s="66">
        <v>45446.0</v>
      </c>
      <c r="E92" s="67" t="s">
        <v>55</v>
      </c>
      <c r="F92" s="69">
        <v>33000.0</v>
      </c>
      <c r="G92" s="70" t="s">
        <v>100</v>
      </c>
      <c r="H92" s="70" t="s">
        <v>28</v>
      </c>
      <c r="I92" s="71"/>
    </row>
    <row r="93" ht="17.25" customHeight="1">
      <c r="A93" s="61"/>
      <c r="B93" s="63" t="b">
        <v>0</v>
      </c>
      <c r="C93" s="64">
        <v>86.0</v>
      </c>
      <c r="D93" s="66">
        <v>45446.0</v>
      </c>
      <c r="E93" s="67" t="s">
        <v>86</v>
      </c>
      <c r="F93" s="69">
        <v>12000.0</v>
      </c>
      <c r="G93" s="70" t="s">
        <v>117</v>
      </c>
      <c r="H93" s="70" t="s">
        <v>28</v>
      </c>
      <c r="I93" s="71"/>
    </row>
    <row r="94" ht="17.25" customHeight="1">
      <c r="A94" s="61"/>
      <c r="B94" s="63" t="b">
        <v>0</v>
      </c>
      <c r="C94" s="64">
        <v>87.0</v>
      </c>
      <c r="D94" s="66">
        <v>45446.0</v>
      </c>
      <c r="E94" s="67" t="s">
        <v>64</v>
      </c>
      <c r="F94" s="69">
        <v>3000.0</v>
      </c>
      <c r="G94" s="70" t="s">
        <v>66</v>
      </c>
      <c r="H94" s="70" t="s">
        <v>28</v>
      </c>
      <c r="I94" s="71"/>
    </row>
    <row r="95" ht="17.25" customHeight="1">
      <c r="A95" s="61"/>
      <c r="B95" s="63" t="b">
        <v>0</v>
      </c>
      <c r="C95" s="64">
        <v>88.0</v>
      </c>
      <c r="D95" s="66">
        <v>45447.0</v>
      </c>
      <c r="E95" s="67" t="s">
        <v>55</v>
      </c>
      <c r="F95" s="69">
        <v>2500.0</v>
      </c>
      <c r="G95" s="70" t="s">
        <v>33</v>
      </c>
      <c r="H95" s="70" t="s">
        <v>28</v>
      </c>
      <c r="I95" s="71"/>
    </row>
    <row r="96" ht="17.25" customHeight="1">
      <c r="A96" s="61"/>
      <c r="B96" s="63" t="b">
        <v>0</v>
      </c>
      <c r="C96" s="64">
        <v>89.0</v>
      </c>
      <c r="D96" s="66">
        <v>45447.0</v>
      </c>
      <c r="E96" s="67" t="s">
        <v>25</v>
      </c>
      <c r="F96" s="69">
        <v>34500.0</v>
      </c>
      <c r="G96" s="70" t="s">
        <v>26</v>
      </c>
      <c r="H96" s="70" t="s">
        <v>28</v>
      </c>
      <c r="I96" s="71"/>
    </row>
    <row r="97" ht="17.25" customHeight="1">
      <c r="A97" s="61"/>
      <c r="B97" s="63" t="b">
        <v>0</v>
      </c>
      <c r="C97" s="64">
        <v>90.0</v>
      </c>
      <c r="D97" s="66">
        <v>45447.0</v>
      </c>
      <c r="E97" s="67" t="s">
        <v>25</v>
      </c>
      <c r="F97" s="69">
        <v>17000.0</v>
      </c>
      <c r="G97" s="70" t="s">
        <v>57</v>
      </c>
      <c r="H97" s="70" t="s">
        <v>28</v>
      </c>
      <c r="I97" s="71"/>
    </row>
    <row r="98" ht="17.25" customHeight="1">
      <c r="A98" s="61"/>
      <c r="B98" s="63" t="b">
        <v>0</v>
      </c>
      <c r="C98" s="64">
        <v>91.0</v>
      </c>
      <c r="D98" s="66">
        <v>45447.0</v>
      </c>
      <c r="E98" s="67" t="s">
        <v>68</v>
      </c>
      <c r="F98" s="69">
        <v>35000.0</v>
      </c>
      <c r="G98" s="70" t="s">
        <v>122</v>
      </c>
      <c r="H98" s="70" t="s">
        <v>28</v>
      </c>
      <c r="I98" s="71"/>
    </row>
    <row r="99" ht="17.25" customHeight="1">
      <c r="A99" s="61"/>
      <c r="B99" s="63" t="b">
        <v>0</v>
      </c>
      <c r="C99" s="64">
        <v>92.0</v>
      </c>
      <c r="D99" s="66">
        <v>45449.0</v>
      </c>
      <c r="E99" s="67" t="s">
        <v>55</v>
      </c>
      <c r="F99" s="69">
        <v>2000.0</v>
      </c>
      <c r="G99" s="70" t="s">
        <v>33</v>
      </c>
      <c r="H99" s="70" t="s">
        <v>28</v>
      </c>
      <c r="I99" s="71"/>
    </row>
    <row r="100" ht="17.25" customHeight="1">
      <c r="A100" s="61"/>
      <c r="B100" s="63" t="b">
        <v>0</v>
      </c>
      <c r="C100" s="64">
        <v>93.0</v>
      </c>
      <c r="D100" s="66">
        <v>45451.0</v>
      </c>
      <c r="E100" s="67" t="s">
        <v>55</v>
      </c>
      <c r="F100" s="69">
        <v>14000.0</v>
      </c>
      <c r="G100" s="70" t="s">
        <v>103</v>
      </c>
      <c r="H100" s="70" t="s">
        <v>28</v>
      </c>
      <c r="I100" s="71"/>
    </row>
    <row r="101" ht="17.25" customHeight="1">
      <c r="A101" s="61"/>
      <c r="B101" s="63" t="b">
        <v>0</v>
      </c>
      <c r="C101" s="64">
        <v>94.0</v>
      </c>
      <c r="D101" s="66">
        <v>45451.0</v>
      </c>
      <c r="E101" s="67" t="s">
        <v>55</v>
      </c>
      <c r="F101" s="69">
        <v>2000.0</v>
      </c>
      <c r="G101" s="70" t="s">
        <v>33</v>
      </c>
      <c r="H101" s="70" t="s">
        <v>28</v>
      </c>
      <c r="I101" s="71"/>
    </row>
    <row r="102" ht="17.25" customHeight="1">
      <c r="A102" s="61"/>
      <c r="B102" s="63" t="b">
        <v>0</v>
      </c>
      <c r="C102" s="64">
        <v>95.0</v>
      </c>
      <c r="D102" s="66">
        <v>45451.0</v>
      </c>
      <c r="E102" s="67" t="s">
        <v>64</v>
      </c>
      <c r="F102" s="69">
        <v>58000.0</v>
      </c>
      <c r="G102" s="70" t="s">
        <v>128</v>
      </c>
      <c r="H102" s="70" t="s">
        <v>28</v>
      </c>
      <c r="I102" s="71"/>
    </row>
    <row r="103" ht="17.25" customHeight="1">
      <c r="A103" s="61"/>
      <c r="B103" s="63" t="b">
        <v>0</v>
      </c>
      <c r="C103" s="64">
        <v>96.0</v>
      </c>
      <c r="D103" s="66">
        <v>45451.0</v>
      </c>
      <c r="E103" s="67" t="s">
        <v>64</v>
      </c>
      <c r="F103" s="69">
        <v>9000.0</v>
      </c>
      <c r="G103" s="70" t="s">
        <v>129</v>
      </c>
      <c r="H103" s="70" t="s">
        <v>28</v>
      </c>
      <c r="I103" s="71"/>
    </row>
    <row r="104" ht="17.25" customHeight="1">
      <c r="A104" s="61"/>
      <c r="B104" s="63" t="b">
        <v>0</v>
      </c>
      <c r="C104" s="64">
        <v>97.0</v>
      </c>
      <c r="D104" s="66">
        <v>45451.0</v>
      </c>
      <c r="E104" s="67" t="s">
        <v>55</v>
      </c>
      <c r="F104" s="69">
        <v>61100.0</v>
      </c>
      <c r="G104" s="70" t="s">
        <v>130</v>
      </c>
      <c r="H104" s="70" t="s">
        <v>28</v>
      </c>
      <c r="I104" s="71"/>
    </row>
    <row r="105" ht="17.25" customHeight="1">
      <c r="A105" s="61"/>
      <c r="B105" s="63" t="b">
        <v>0</v>
      </c>
      <c r="C105" s="64">
        <v>98.0</v>
      </c>
      <c r="D105" s="66">
        <v>45451.0</v>
      </c>
      <c r="E105" s="67" t="s">
        <v>55</v>
      </c>
      <c r="F105" s="69">
        <v>52400.0</v>
      </c>
      <c r="G105" s="70" t="s">
        <v>132</v>
      </c>
      <c r="H105" s="70" t="s">
        <v>28</v>
      </c>
      <c r="I105" s="71"/>
    </row>
    <row r="106" ht="17.25" customHeight="1">
      <c r="A106" s="61"/>
      <c r="B106" s="63" t="b">
        <v>0</v>
      </c>
      <c r="C106" s="64">
        <v>99.0</v>
      </c>
      <c r="D106" s="66">
        <v>45452.0</v>
      </c>
      <c r="E106" s="67" t="s">
        <v>55</v>
      </c>
      <c r="F106" s="69">
        <v>4000.0</v>
      </c>
      <c r="G106" s="70" t="s">
        <v>33</v>
      </c>
      <c r="H106" s="70" t="s">
        <v>28</v>
      </c>
      <c r="I106" s="71"/>
    </row>
    <row r="107" ht="17.25" customHeight="1">
      <c r="A107" s="61"/>
      <c r="B107" s="63" t="b">
        <v>0</v>
      </c>
      <c r="C107" s="64">
        <v>100.0</v>
      </c>
      <c r="D107" s="66">
        <v>45453.0</v>
      </c>
      <c r="E107" s="67" t="s">
        <v>55</v>
      </c>
      <c r="F107" s="69">
        <v>2500.0</v>
      </c>
      <c r="G107" s="70" t="s">
        <v>33</v>
      </c>
      <c r="H107" s="70" t="s">
        <v>28</v>
      </c>
      <c r="I107" s="71"/>
    </row>
    <row r="108" ht="17.25" customHeight="1">
      <c r="A108" s="61"/>
      <c r="B108" s="63" t="b">
        <v>0</v>
      </c>
      <c r="C108" s="64">
        <v>101.0</v>
      </c>
      <c r="D108" s="66">
        <v>45453.0</v>
      </c>
      <c r="E108" s="67" t="s">
        <v>25</v>
      </c>
      <c r="F108" s="69">
        <v>16500.0</v>
      </c>
      <c r="G108" s="70" t="s">
        <v>45</v>
      </c>
      <c r="H108" s="70" t="s">
        <v>28</v>
      </c>
      <c r="I108" s="71"/>
    </row>
    <row r="109" ht="17.25" customHeight="1">
      <c r="A109" s="61"/>
      <c r="B109" s="63" t="b">
        <v>0</v>
      </c>
      <c r="C109" s="64">
        <v>102.0</v>
      </c>
      <c r="D109" s="66">
        <v>45455.0</v>
      </c>
      <c r="E109" s="67" t="s">
        <v>25</v>
      </c>
      <c r="F109" s="69">
        <v>35000.0</v>
      </c>
      <c r="G109" s="70" t="s">
        <v>134</v>
      </c>
      <c r="H109" s="70" t="s">
        <v>28</v>
      </c>
      <c r="I109" s="71"/>
    </row>
    <row r="110" ht="17.25" customHeight="1">
      <c r="A110" s="61"/>
      <c r="B110" s="63" t="b">
        <v>0</v>
      </c>
      <c r="C110" s="64">
        <v>103.0</v>
      </c>
      <c r="D110" s="66">
        <v>45455.0</v>
      </c>
      <c r="E110" s="67" t="s">
        <v>35</v>
      </c>
      <c r="F110" s="69">
        <v>201902.0</v>
      </c>
      <c r="G110" s="70" t="s">
        <v>36</v>
      </c>
      <c r="H110" s="70" t="s">
        <v>28</v>
      </c>
      <c r="I110" s="71"/>
    </row>
    <row r="111" ht="17.25" customHeight="1">
      <c r="A111" s="61"/>
      <c r="B111" s="63" t="b">
        <v>0</v>
      </c>
      <c r="C111" s="64">
        <v>104.0</v>
      </c>
      <c r="D111" s="66">
        <v>45455.0</v>
      </c>
      <c r="E111" s="67" t="s">
        <v>55</v>
      </c>
      <c r="F111" s="69">
        <v>2500.0</v>
      </c>
      <c r="G111" s="70" t="s">
        <v>33</v>
      </c>
      <c r="H111" s="70" t="s">
        <v>28</v>
      </c>
      <c r="I111" s="71"/>
    </row>
    <row r="112" ht="17.25" customHeight="1">
      <c r="A112" s="61"/>
      <c r="B112" s="63" t="b">
        <v>0</v>
      </c>
      <c r="C112" s="64">
        <v>105.0</v>
      </c>
      <c r="D112" s="66">
        <v>45456.0</v>
      </c>
      <c r="E112" s="67" t="s">
        <v>55</v>
      </c>
      <c r="F112" s="69">
        <v>2000.0</v>
      </c>
      <c r="G112" s="70" t="s">
        <v>33</v>
      </c>
      <c r="H112" s="70" t="s">
        <v>28</v>
      </c>
      <c r="I112" s="71"/>
    </row>
    <row r="113" ht="17.25" customHeight="1">
      <c r="A113" s="61"/>
      <c r="B113" s="63" t="b">
        <v>0</v>
      </c>
      <c r="C113" s="64">
        <v>106.0</v>
      </c>
      <c r="D113" s="66">
        <v>45459.0</v>
      </c>
      <c r="E113" s="67" t="s">
        <v>55</v>
      </c>
      <c r="F113" s="69">
        <v>2500.0</v>
      </c>
      <c r="G113" s="70" t="s">
        <v>33</v>
      </c>
      <c r="H113" s="70" t="s">
        <v>28</v>
      </c>
      <c r="I113" s="71"/>
    </row>
    <row r="114" ht="17.25" customHeight="1">
      <c r="A114" s="61"/>
      <c r="B114" s="63" t="b">
        <v>0</v>
      </c>
      <c r="C114" s="64">
        <v>107.0</v>
      </c>
      <c r="D114" s="66">
        <v>45459.0</v>
      </c>
      <c r="E114" s="67" t="s">
        <v>55</v>
      </c>
      <c r="F114" s="69">
        <v>33000.0</v>
      </c>
      <c r="G114" s="70" t="s">
        <v>100</v>
      </c>
      <c r="H114" s="70" t="s">
        <v>28</v>
      </c>
      <c r="I114" s="71"/>
    </row>
    <row r="115" ht="17.25" customHeight="1">
      <c r="A115" s="61"/>
      <c r="B115" s="63" t="b">
        <v>0</v>
      </c>
      <c r="C115" s="64">
        <v>108.0</v>
      </c>
      <c r="D115" s="66">
        <v>45459.0</v>
      </c>
      <c r="E115" s="67" t="s">
        <v>86</v>
      </c>
      <c r="F115" s="69">
        <v>72000.0</v>
      </c>
      <c r="G115" s="70" t="s">
        <v>136</v>
      </c>
      <c r="H115" s="70" t="s">
        <v>28</v>
      </c>
      <c r="I115" s="71"/>
    </row>
    <row r="116" ht="17.25" customHeight="1">
      <c r="A116" s="61"/>
      <c r="B116" s="63" t="b">
        <v>0</v>
      </c>
      <c r="C116" s="64">
        <v>109.0</v>
      </c>
      <c r="D116" s="66">
        <v>45461.0</v>
      </c>
      <c r="E116" s="67" t="s">
        <v>55</v>
      </c>
      <c r="F116" s="69">
        <v>2500.0</v>
      </c>
      <c r="G116" s="70" t="s">
        <v>33</v>
      </c>
      <c r="H116" s="70" t="s">
        <v>28</v>
      </c>
      <c r="I116" s="71"/>
    </row>
    <row r="117" ht="17.25" customHeight="1">
      <c r="A117" s="61"/>
      <c r="B117" s="63" t="b">
        <v>0</v>
      </c>
      <c r="C117" s="64">
        <v>110.0</v>
      </c>
      <c r="D117" s="66">
        <v>45462.0</v>
      </c>
      <c r="E117" s="67" t="s">
        <v>55</v>
      </c>
      <c r="F117" s="69">
        <v>2500.0</v>
      </c>
      <c r="G117" s="70" t="s">
        <v>33</v>
      </c>
      <c r="H117" s="70" t="s">
        <v>28</v>
      </c>
      <c r="I117" s="71"/>
    </row>
    <row r="118" ht="17.25" customHeight="1">
      <c r="A118" s="61"/>
      <c r="B118" s="63" t="b">
        <v>0</v>
      </c>
      <c r="C118" s="64">
        <v>111.0</v>
      </c>
      <c r="D118" s="66">
        <v>45462.0</v>
      </c>
      <c r="E118" s="67" t="s">
        <v>138</v>
      </c>
      <c r="F118" s="69">
        <v>30000.0</v>
      </c>
      <c r="G118" s="70" t="s">
        <v>139</v>
      </c>
      <c r="H118" s="70" t="s">
        <v>28</v>
      </c>
      <c r="I118" s="71"/>
    </row>
    <row r="119" ht="17.25" customHeight="1">
      <c r="A119" s="61"/>
      <c r="B119" s="63" t="b">
        <v>0</v>
      </c>
      <c r="C119" s="64">
        <v>112.0</v>
      </c>
      <c r="D119" s="66">
        <v>45463.0</v>
      </c>
      <c r="E119" s="67" t="s">
        <v>55</v>
      </c>
      <c r="F119" s="69">
        <v>2000.0</v>
      </c>
      <c r="G119" s="70" t="s">
        <v>33</v>
      </c>
      <c r="H119" s="70" t="s">
        <v>28</v>
      </c>
      <c r="I119" s="71"/>
    </row>
    <row r="120" ht="17.25" customHeight="1">
      <c r="A120" s="61"/>
      <c r="B120" s="63" t="b">
        <v>0</v>
      </c>
      <c r="C120" s="64">
        <v>113.0</v>
      </c>
      <c r="D120" s="66">
        <v>45465.0</v>
      </c>
      <c r="E120" s="67" t="s">
        <v>25</v>
      </c>
      <c r="F120" s="69">
        <v>10000.0</v>
      </c>
      <c r="G120" s="70" t="s">
        <v>141</v>
      </c>
      <c r="H120" s="70" t="s">
        <v>28</v>
      </c>
      <c r="I120" s="71"/>
    </row>
    <row r="121" ht="17.25" customHeight="1">
      <c r="A121" s="61"/>
      <c r="B121" s="63" t="b">
        <v>0</v>
      </c>
      <c r="C121" s="64">
        <v>114.0</v>
      </c>
      <c r="D121" s="66">
        <v>45465.0</v>
      </c>
      <c r="E121" s="67" t="s">
        <v>25</v>
      </c>
      <c r="F121" s="69">
        <v>31000.0</v>
      </c>
      <c r="G121" s="70" t="s">
        <v>30</v>
      </c>
      <c r="H121" s="70" t="s">
        <v>28</v>
      </c>
      <c r="I121" s="71"/>
    </row>
    <row r="122" ht="17.25" customHeight="1">
      <c r="A122" s="61"/>
      <c r="B122" s="63" t="b">
        <v>0</v>
      </c>
      <c r="C122" s="64">
        <v>115.0</v>
      </c>
      <c r="D122" s="66">
        <v>45466.0</v>
      </c>
      <c r="E122" s="67" t="s">
        <v>55</v>
      </c>
      <c r="F122" s="69">
        <v>2500.0</v>
      </c>
      <c r="G122" s="70" t="s">
        <v>33</v>
      </c>
      <c r="H122" s="70" t="s">
        <v>28</v>
      </c>
      <c r="I122" s="71"/>
    </row>
    <row r="123" ht="17.25" customHeight="1">
      <c r="A123" s="61"/>
      <c r="B123" s="63" t="b">
        <v>0</v>
      </c>
      <c r="C123" s="64">
        <v>116.0</v>
      </c>
      <c r="D123" s="66">
        <v>45466.0</v>
      </c>
      <c r="E123" s="67" t="s">
        <v>55</v>
      </c>
      <c r="F123" s="69">
        <v>13000.0</v>
      </c>
      <c r="G123" s="70" t="s">
        <v>103</v>
      </c>
      <c r="H123" s="70" t="s">
        <v>28</v>
      </c>
      <c r="I123" s="71"/>
    </row>
    <row r="124" ht="17.25" customHeight="1">
      <c r="A124" s="61"/>
      <c r="B124" s="63" t="b">
        <v>0</v>
      </c>
      <c r="C124" s="64">
        <v>117.0</v>
      </c>
      <c r="D124" s="66">
        <v>45466.0</v>
      </c>
      <c r="E124" s="67" t="s">
        <v>25</v>
      </c>
      <c r="F124" s="69">
        <v>16500.0</v>
      </c>
      <c r="G124" s="70" t="s">
        <v>45</v>
      </c>
      <c r="H124" s="70" t="s">
        <v>28</v>
      </c>
      <c r="I124" s="71"/>
    </row>
    <row r="125" ht="17.25" customHeight="1">
      <c r="A125" s="61"/>
      <c r="B125" s="63" t="b">
        <v>0</v>
      </c>
      <c r="C125" s="64">
        <v>118.0</v>
      </c>
      <c r="D125" s="66">
        <v>45467.0</v>
      </c>
      <c r="E125" s="67" t="s">
        <v>55</v>
      </c>
      <c r="F125" s="69">
        <v>2500.0</v>
      </c>
      <c r="G125" s="70" t="s">
        <v>33</v>
      </c>
      <c r="H125" s="70" t="s">
        <v>28</v>
      </c>
      <c r="I125" s="71"/>
    </row>
    <row r="126" ht="17.25" customHeight="1">
      <c r="A126" s="61"/>
      <c r="B126" s="63" t="b">
        <v>0</v>
      </c>
      <c r="C126" s="64">
        <v>119.0</v>
      </c>
      <c r="D126" s="66">
        <v>45468.0</v>
      </c>
      <c r="E126" s="67" t="s">
        <v>55</v>
      </c>
      <c r="F126" s="69">
        <v>2500.0</v>
      </c>
      <c r="G126" s="70" t="s">
        <v>33</v>
      </c>
      <c r="H126" s="70" t="s">
        <v>28</v>
      </c>
      <c r="I126" s="71"/>
    </row>
    <row r="127" ht="17.25" customHeight="1">
      <c r="A127" s="61"/>
      <c r="B127" s="63" t="b">
        <v>0</v>
      </c>
      <c r="C127" s="64">
        <v>120.0</v>
      </c>
      <c r="D127" s="66">
        <v>45468.0</v>
      </c>
      <c r="E127" s="67" t="s">
        <v>35</v>
      </c>
      <c r="F127" s="69">
        <v>202500.0</v>
      </c>
      <c r="G127" s="70" t="s">
        <v>36</v>
      </c>
      <c r="H127" s="70" t="s">
        <v>28</v>
      </c>
      <c r="I127" s="71"/>
    </row>
    <row r="128" ht="17.25" customHeight="1">
      <c r="A128" s="61"/>
      <c r="B128" s="63" t="b">
        <v>0</v>
      </c>
      <c r="C128" s="64">
        <v>121.0</v>
      </c>
      <c r="D128" s="66">
        <v>45469.0</v>
      </c>
      <c r="E128" s="67" t="s">
        <v>55</v>
      </c>
      <c r="F128" s="69">
        <v>33000.0</v>
      </c>
      <c r="G128" s="70" t="s">
        <v>100</v>
      </c>
      <c r="H128" s="70" t="s">
        <v>28</v>
      </c>
      <c r="I128" s="71"/>
    </row>
    <row r="129" ht="17.25" customHeight="1">
      <c r="A129" s="61"/>
      <c r="B129" s="63" t="b">
        <v>0</v>
      </c>
      <c r="C129" s="64">
        <v>122.0</v>
      </c>
      <c r="D129" s="66">
        <v>45469.0</v>
      </c>
      <c r="E129" s="67" t="s">
        <v>55</v>
      </c>
      <c r="F129" s="69">
        <v>17000.0</v>
      </c>
      <c r="G129" s="70" t="s">
        <v>143</v>
      </c>
      <c r="H129" s="70" t="s">
        <v>28</v>
      </c>
      <c r="I129" s="71"/>
    </row>
    <row r="130" ht="17.25" customHeight="1">
      <c r="A130" s="61"/>
      <c r="B130" s="63" t="b">
        <v>0</v>
      </c>
      <c r="C130" s="64">
        <v>123.0</v>
      </c>
      <c r="D130" s="66">
        <v>45472.0</v>
      </c>
      <c r="E130" s="67" t="s">
        <v>55</v>
      </c>
      <c r="F130" s="69">
        <v>2500.0</v>
      </c>
      <c r="G130" s="70" t="s">
        <v>33</v>
      </c>
      <c r="H130" s="70" t="s">
        <v>28</v>
      </c>
      <c r="I130" s="71"/>
    </row>
    <row r="131" ht="17.25" customHeight="1">
      <c r="A131" s="61"/>
      <c r="B131" s="63" t="b">
        <v>0</v>
      </c>
      <c r="C131" s="64">
        <v>124.0</v>
      </c>
      <c r="D131" s="66">
        <v>45472.0</v>
      </c>
      <c r="E131" s="67" t="s">
        <v>25</v>
      </c>
      <c r="F131" s="69">
        <v>16500.0</v>
      </c>
      <c r="G131" s="70" t="s">
        <v>45</v>
      </c>
      <c r="H131" s="70" t="s">
        <v>28</v>
      </c>
      <c r="I131" s="71"/>
    </row>
    <row r="132" ht="17.25" customHeight="1">
      <c r="A132" s="61"/>
      <c r="B132" s="63" t="b">
        <v>0</v>
      </c>
      <c r="C132" s="64">
        <v>125.0</v>
      </c>
      <c r="D132" s="66">
        <v>45473.0</v>
      </c>
      <c r="E132" s="67" t="s">
        <v>138</v>
      </c>
      <c r="F132" s="69">
        <v>30000.0</v>
      </c>
      <c r="G132" s="70" t="s">
        <v>139</v>
      </c>
      <c r="H132" s="70" t="s">
        <v>28</v>
      </c>
      <c r="I132" s="71"/>
    </row>
    <row r="133" ht="17.25" customHeight="1">
      <c r="A133" s="61"/>
      <c r="B133" s="63" t="b">
        <v>0</v>
      </c>
      <c r="C133" s="64">
        <v>126.0</v>
      </c>
      <c r="D133" s="66">
        <v>45473.0</v>
      </c>
      <c r="E133" s="67" t="s">
        <v>55</v>
      </c>
      <c r="F133" s="69">
        <v>2500.0</v>
      </c>
      <c r="G133" s="70" t="s">
        <v>33</v>
      </c>
      <c r="H133" s="70" t="s">
        <v>28</v>
      </c>
      <c r="I133" s="71"/>
    </row>
    <row r="134" ht="17.25" customHeight="1">
      <c r="A134" s="61"/>
      <c r="B134" s="63" t="b">
        <v>0</v>
      </c>
      <c r="C134" s="64">
        <v>127.0</v>
      </c>
      <c r="D134" s="66">
        <v>45474.0</v>
      </c>
      <c r="E134" s="67" t="s">
        <v>55</v>
      </c>
      <c r="F134" s="69">
        <v>2500.0</v>
      </c>
      <c r="G134" s="70" t="s">
        <v>33</v>
      </c>
      <c r="H134" s="70" t="s">
        <v>28</v>
      </c>
      <c r="I134" s="71"/>
    </row>
    <row r="135" ht="17.25" customHeight="1">
      <c r="A135" s="61"/>
      <c r="B135" s="63" t="b">
        <v>0</v>
      </c>
      <c r="C135" s="64">
        <v>128.0</v>
      </c>
      <c r="D135" s="66">
        <v>45477.0</v>
      </c>
      <c r="E135" s="67" t="s">
        <v>55</v>
      </c>
      <c r="F135" s="69">
        <v>2500.0</v>
      </c>
      <c r="G135" s="70" t="s">
        <v>33</v>
      </c>
      <c r="H135" s="70" t="s">
        <v>28</v>
      </c>
      <c r="I135" s="71"/>
    </row>
    <row r="136" ht="17.25" customHeight="1">
      <c r="A136" s="61"/>
      <c r="B136" s="63" t="b">
        <v>0</v>
      </c>
      <c r="C136" s="64">
        <v>129.0</v>
      </c>
      <c r="D136" s="66">
        <v>45479.0</v>
      </c>
      <c r="E136" s="67" t="s">
        <v>55</v>
      </c>
      <c r="F136" s="69">
        <v>2000.0</v>
      </c>
      <c r="G136" s="70" t="s">
        <v>33</v>
      </c>
      <c r="H136" s="70" t="s">
        <v>28</v>
      </c>
      <c r="I136" s="71"/>
    </row>
    <row r="137" ht="17.25" customHeight="1">
      <c r="A137" s="61"/>
      <c r="B137" s="63" t="b">
        <v>0</v>
      </c>
      <c r="C137" s="64">
        <v>130.0</v>
      </c>
      <c r="D137" s="66">
        <v>45479.0</v>
      </c>
      <c r="E137" s="67" t="s">
        <v>55</v>
      </c>
      <c r="F137" s="69">
        <v>33000.0</v>
      </c>
      <c r="G137" s="70" t="s">
        <v>100</v>
      </c>
      <c r="H137" s="70" t="s">
        <v>28</v>
      </c>
      <c r="I137" s="71"/>
    </row>
    <row r="138" ht="17.25" customHeight="1">
      <c r="A138" s="61"/>
      <c r="B138" s="63" t="b">
        <v>0</v>
      </c>
      <c r="C138" s="64">
        <v>131.0</v>
      </c>
      <c r="D138" s="66">
        <v>45481.0</v>
      </c>
      <c r="E138" s="67" t="s">
        <v>55</v>
      </c>
      <c r="F138" s="69">
        <v>2500.0</v>
      </c>
      <c r="G138" s="70" t="s">
        <v>33</v>
      </c>
      <c r="H138" s="70" t="s">
        <v>28</v>
      </c>
      <c r="I138" s="71"/>
    </row>
    <row r="139" ht="17.25" customHeight="1">
      <c r="A139" s="61"/>
      <c r="B139" s="63" t="b">
        <v>0</v>
      </c>
      <c r="C139" s="64">
        <v>132.0</v>
      </c>
      <c r="D139" s="66">
        <v>45481.0</v>
      </c>
      <c r="E139" s="67" t="s">
        <v>64</v>
      </c>
      <c r="F139" s="69">
        <v>40000.0</v>
      </c>
      <c r="G139" s="70" t="s">
        <v>147</v>
      </c>
      <c r="H139" s="70" t="s">
        <v>28</v>
      </c>
      <c r="I139" s="71"/>
    </row>
    <row r="140" ht="17.25" customHeight="1">
      <c r="A140" s="61"/>
      <c r="B140" s="63" t="b">
        <v>0</v>
      </c>
      <c r="C140" s="64">
        <v>133.0</v>
      </c>
      <c r="D140" s="66">
        <v>45481.0</v>
      </c>
      <c r="E140" s="67" t="s">
        <v>35</v>
      </c>
      <c r="F140" s="69">
        <v>201500.0</v>
      </c>
      <c r="G140" s="70" t="s">
        <v>36</v>
      </c>
      <c r="H140" s="70" t="s">
        <v>28</v>
      </c>
      <c r="I140" s="71"/>
    </row>
    <row r="141" ht="17.25" customHeight="1">
      <c r="A141" s="61"/>
      <c r="B141" s="63" t="b">
        <v>0</v>
      </c>
      <c r="C141" s="64">
        <v>134.0</v>
      </c>
      <c r="D141" s="66">
        <v>45482.0</v>
      </c>
      <c r="E141" s="67" t="s">
        <v>25</v>
      </c>
      <c r="F141" s="69">
        <v>16500.0</v>
      </c>
      <c r="G141" s="70" t="s">
        <v>45</v>
      </c>
      <c r="H141" s="70" t="s">
        <v>28</v>
      </c>
      <c r="I141" s="71"/>
    </row>
    <row r="142" ht="17.25" customHeight="1">
      <c r="A142" s="61"/>
      <c r="B142" s="63" t="b">
        <v>0</v>
      </c>
      <c r="C142" s="64">
        <v>135.0</v>
      </c>
      <c r="D142" s="66">
        <v>45482.0</v>
      </c>
      <c r="E142" s="67" t="s">
        <v>55</v>
      </c>
      <c r="F142" s="69">
        <v>2500.0</v>
      </c>
      <c r="G142" s="70" t="s">
        <v>33</v>
      </c>
      <c r="H142" s="70" t="s">
        <v>28</v>
      </c>
      <c r="I142" s="71"/>
    </row>
    <row r="143" ht="17.25" customHeight="1">
      <c r="A143" s="61"/>
      <c r="B143" s="63" t="b">
        <v>0</v>
      </c>
      <c r="C143" s="64">
        <v>136.0</v>
      </c>
      <c r="D143" s="66">
        <v>45483.0</v>
      </c>
      <c r="E143" s="67" t="s">
        <v>55</v>
      </c>
      <c r="F143" s="69">
        <v>2000.0</v>
      </c>
      <c r="G143" s="70" t="s">
        <v>33</v>
      </c>
      <c r="H143" s="70" t="s">
        <v>28</v>
      </c>
      <c r="I143" s="71"/>
    </row>
    <row r="144" ht="17.25" customHeight="1">
      <c r="A144" s="61"/>
      <c r="B144" s="63" t="b">
        <v>0</v>
      </c>
      <c r="C144" s="64">
        <v>137.0</v>
      </c>
      <c r="D144" s="66">
        <v>45484.0</v>
      </c>
      <c r="E144" s="67" t="s">
        <v>55</v>
      </c>
      <c r="F144" s="69">
        <v>8000.0</v>
      </c>
      <c r="G144" s="70" t="s">
        <v>150</v>
      </c>
      <c r="H144" s="70" t="s">
        <v>28</v>
      </c>
      <c r="I144" s="71"/>
    </row>
    <row r="145" ht="17.25" customHeight="1">
      <c r="A145" s="61"/>
      <c r="B145" s="63" t="b">
        <v>0</v>
      </c>
      <c r="C145" s="64">
        <v>138.0</v>
      </c>
      <c r="D145" s="66">
        <v>45484.0</v>
      </c>
      <c r="E145" s="67" t="s">
        <v>55</v>
      </c>
      <c r="F145" s="69">
        <v>13000.0</v>
      </c>
      <c r="G145" s="70" t="s">
        <v>103</v>
      </c>
      <c r="H145" s="70" t="s">
        <v>28</v>
      </c>
      <c r="I145" s="71"/>
    </row>
    <row r="146" ht="17.25" customHeight="1">
      <c r="A146" s="61"/>
      <c r="B146" s="63" t="b">
        <v>0</v>
      </c>
      <c r="C146" s="64">
        <v>139.0</v>
      </c>
      <c r="D146" s="66">
        <v>45486.0</v>
      </c>
      <c r="E146" s="67" t="s">
        <v>55</v>
      </c>
      <c r="F146" s="69">
        <v>2500.0</v>
      </c>
      <c r="G146" s="70" t="s">
        <v>33</v>
      </c>
      <c r="H146" s="70" t="s">
        <v>28</v>
      </c>
      <c r="I146" s="71"/>
    </row>
    <row r="147" ht="17.25" customHeight="1">
      <c r="A147" s="61"/>
      <c r="B147" s="63" t="b">
        <v>0</v>
      </c>
      <c r="C147" s="64">
        <v>140.0</v>
      </c>
      <c r="D147" s="66">
        <v>45486.0</v>
      </c>
      <c r="E147" s="67" t="s">
        <v>55</v>
      </c>
      <c r="F147" s="69">
        <v>52000.0</v>
      </c>
      <c r="G147" s="70" t="s">
        <v>56</v>
      </c>
      <c r="H147" s="70" t="s">
        <v>28</v>
      </c>
      <c r="I147" s="71"/>
    </row>
    <row r="148" ht="17.25" customHeight="1">
      <c r="A148" s="61"/>
      <c r="B148" s="63" t="b">
        <v>0</v>
      </c>
      <c r="C148" s="64">
        <v>141.0</v>
      </c>
      <c r="D148" s="66">
        <v>45486.0</v>
      </c>
      <c r="E148" s="67" t="s">
        <v>55</v>
      </c>
      <c r="F148" s="69">
        <v>33000.0</v>
      </c>
      <c r="G148" s="70" t="s">
        <v>100</v>
      </c>
      <c r="H148" s="70" t="s">
        <v>28</v>
      </c>
      <c r="I148" s="71"/>
    </row>
    <row r="149" ht="17.25" customHeight="1">
      <c r="A149" s="61"/>
      <c r="B149" s="63" t="b">
        <v>0</v>
      </c>
      <c r="C149" s="64">
        <v>142.0</v>
      </c>
      <c r="D149" s="66">
        <v>45486.0</v>
      </c>
      <c r="E149" s="67" t="s">
        <v>55</v>
      </c>
      <c r="F149" s="69">
        <v>36000.0</v>
      </c>
      <c r="G149" s="70" t="s">
        <v>156</v>
      </c>
      <c r="H149" s="70" t="s">
        <v>28</v>
      </c>
      <c r="I149" s="71"/>
    </row>
    <row r="150" ht="17.25" customHeight="1">
      <c r="A150" s="61"/>
      <c r="B150" s="63" t="b">
        <v>0</v>
      </c>
      <c r="C150" s="64">
        <v>143.0</v>
      </c>
      <c r="D150" s="66">
        <v>45487.0</v>
      </c>
      <c r="E150" s="67" t="s">
        <v>55</v>
      </c>
      <c r="F150" s="69">
        <v>2500.0</v>
      </c>
      <c r="G150" s="70" t="s">
        <v>33</v>
      </c>
      <c r="H150" s="70" t="s">
        <v>28</v>
      </c>
      <c r="I150" s="71"/>
    </row>
    <row r="151" ht="17.25" customHeight="1">
      <c r="A151" s="61"/>
      <c r="B151" s="63" t="b">
        <v>0</v>
      </c>
      <c r="C151" s="64">
        <v>144.0</v>
      </c>
      <c r="D151" s="66">
        <v>45488.0</v>
      </c>
      <c r="E151" s="67" t="s">
        <v>55</v>
      </c>
      <c r="F151" s="69">
        <v>2500.0</v>
      </c>
      <c r="G151" s="70" t="s">
        <v>33</v>
      </c>
      <c r="H151" s="70" t="s">
        <v>28</v>
      </c>
      <c r="I151" s="71"/>
    </row>
    <row r="152" ht="17.25" customHeight="1">
      <c r="A152" s="61"/>
      <c r="B152" s="63" t="b">
        <v>0</v>
      </c>
      <c r="C152" s="64">
        <v>145.0</v>
      </c>
      <c r="D152" s="66">
        <v>45488.0</v>
      </c>
      <c r="E152" s="67" t="s">
        <v>55</v>
      </c>
      <c r="F152" s="69">
        <v>16500.0</v>
      </c>
      <c r="G152" s="70" t="s">
        <v>45</v>
      </c>
      <c r="H152" s="70" t="s">
        <v>28</v>
      </c>
      <c r="I152" s="71"/>
    </row>
    <row r="153" ht="17.25" customHeight="1">
      <c r="A153" s="61"/>
      <c r="B153" s="63" t="b">
        <v>0</v>
      </c>
      <c r="C153" s="64">
        <v>146.0</v>
      </c>
      <c r="D153" s="66">
        <v>45488.0</v>
      </c>
      <c r="E153" s="67" t="s">
        <v>55</v>
      </c>
      <c r="F153" s="69">
        <v>30000.0</v>
      </c>
      <c r="G153" s="70" t="s">
        <v>139</v>
      </c>
      <c r="H153" s="70" t="s">
        <v>28</v>
      </c>
      <c r="I153" s="71"/>
    </row>
    <row r="154" ht="17.25" customHeight="1">
      <c r="A154" s="61"/>
      <c r="B154" s="63" t="b">
        <v>0</v>
      </c>
      <c r="C154" s="64">
        <v>147.0</v>
      </c>
      <c r="D154" s="66">
        <v>45489.0</v>
      </c>
      <c r="E154" s="67" t="s">
        <v>55</v>
      </c>
      <c r="F154" s="69">
        <v>30000.0</v>
      </c>
      <c r="G154" s="70" t="s">
        <v>161</v>
      </c>
      <c r="H154" s="70" t="s">
        <v>28</v>
      </c>
      <c r="I154" s="71"/>
    </row>
    <row r="155" ht="17.25" customHeight="1">
      <c r="A155" s="61"/>
      <c r="B155" s="63" t="b">
        <v>0</v>
      </c>
      <c r="C155" s="64">
        <v>148.0</v>
      </c>
      <c r="D155" s="66">
        <v>45490.0</v>
      </c>
      <c r="E155" s="67" t="s">
        <v>35</v>
      </c>
      <c r="F155" s="69">
        <v>201915.0</v>
      </c>
      <c r="G155" s="70" t="s">
        <v>36</v>
      </c>
      <c r="H155" s="70" t="s">
        <v>28</v>
      </c>
      <c r="I155" s="71"/>
    </row>
    <row r="156" ht="17.25" customHeight="1">
      <c r="A156" s="61"/>
      <c r="B156" s="63" t="b">
        <v>0</v>
      </c>
      <c r="C156" s="64">
        <v>149.0</v>
      </c>
      <c r="D156" s="66">
        <v>45490.0</v>
      </c>
      <c r="E156" s="67" t="s">
        <v>55</v>
      </c>
      <c r="F156" s="69">
        <v>33000.0</v>
      </c>
      <c r="G156" s="70" t="s">
        <v>100</v>
      </c>
      <c r="H156" s="70" t="s">
        <v>28</v>
      </c>
      <c r="I156" s="71"/>
    </row>
    <row r="157" ht="17.25" customHeight="1">
      <c r="A157" s="61"/>
      <c r="B157" s="63" t="b">
        <v>0</v>
      </c>
      <c r="C157" s="64">
        <v>150.0</v>
      </c>
      <c r="D157" s="66">
        <v>45490.0</v>
      </c>
      <c r="E157" s="67" t="s">
        <v>55</v>
      </c>
      <c r="F157" s="69">
        <v>2500.0</v>
      </c>
      <c r="G157" s="70" t="s">
        <v>33</v>
      </c>
      <c r="H157" s="70" t="s">
        <v>28</v>
      </c>
      <c r="I157" s="71"/>
    </row>
    <row r="158" ht="17.25" customHeight="1">
      <c r="A158" s="61"/>
      <c r="B158" s="63" t="b">
        <v>0</v>
      </c>
      <c r="C158" s="64">
        <v>151.0</v>
      </c>
      <c r="D158" s="66">
        <v>45490.0</v>
      </c>
      <c r="E158" s="67" t="s">
        <v>68</v>
      </c>
      <c r="F158" s="69">
        <v>50000.0</v>
      </c>
      <c r="G158" s="70" t="s">
        <v>162</v>
      </c>
      <c r="H158" s="70" t="s">
        <v>28</v>
      </c>
      <c r="I158" s="71"/>
    </row>
    <row r="159" ht="17.25" customHeight="1">
      <c r="A159" s="61"/>
      <c r="B159" s="63" t="b">
        <v>0</v>
      </c>
      <c r="C159" s="64">
        <v>152.0</v>
      </c>
      <c r="D159" s="66">
        <v>45490.0</v>
      </c>
      <c r="E159" s="67" t="s">
        <v>64</v>
      </c>
      <c r="F159" s="69">
        <v>47500.0</v>
      </c>
      <c r="G159" s="70" t="s">
        <v>163</v>
      </c>
      <c r="H159" s="70" t="s">
        <v>28</v>
      </c>
      <c r="I159" s="71"/>
    </row>
    <row r="160" ht="17.25" customHeight="1">
      <c r="A160" s="61"/>
      <c r="B160" s="63" t="b">
        <v>0</v>
      </c>
      <c r="C160" s="64">
        <v>153.0</v>
      </c>
      <c r="D160" s="66">
        <v>45490.0</v>
      </c>
      <c r="E160" s="67" t="s">
        <v>64</v>
      </c>
      <c r="F160" s="69">
        <v>21600.0</v>
      </c>
      <c r="G160" s="70" t="s">
        <v>164</v>
      </c>
      <c r="H160" s="70" t="s">
        <v>28</v>
      </c>
      <c r="I160" s="71"/>
    </row>
    <row r="161" ht="17.25" customHeight="1">
      <c r="A161" s="61"/>
      <c r="B161" s="63" t="b">
        <v>0</v>
      </c>
      <c r="C161" s="64">
        <v>154.0</v>
      </c>
      <c r="D161" s="66">
        <v>45491.0</v>
      </c>
      <c r="E161" s="67" t="s">
        <v>55</v>
      </c>
      <c r="F161" s="69">
        <v>2500.0</v>
      </c>
      <c r="G161" s="70" t="s">
        <v>33</v>
      </c>
      <c r="H161" s="70" t="s">
        <v>28</v>
      </c>
      <c r="I161" s="71"/>
    </row>
    <row r="162" ht="17.25" customHeight="1">
      <c r="A162" s="61"/>
      <c r="B162" s="63" t="b">
        <v>0</v>
      </c>
      <c r="C162" s="64">
        <v>155.0</v>
      </c>
      <c r="D162" s="66">
        <v>45491.0</v>
      </c>
      <c r="E162" s="67" t="s">
        <v>25</v>
      </c>
      <c r="F162" s="69">
        <v>30700.0</v>
      </c>
      <c r="G162" s="70" t="s">
        <v>30</v>
      </c>
      <c r="H162" s="70" t="s">
        <v>28</v>
      </c>
      <c r="I162" s="71"/>
    </row>
    <row r="163" ht="17.25" customHeight="1">
      <c r="A163" s="61"/>
      <c r="B163" s="63" t="b">
        <v>0</v>
      </c>
      <c r="C163" s="64">
        <v>156.0</v>
      </c>
      <c r="D163" s="66">
        <v>45493.0</v>
      </c>
      <c r="E163" s="67" t="s">
        <v>25</v>
      </c>
      <c r="F163" s="69">
        <v>15500.0</v>
      </c>
      <c r="G163" s="70" t="s">
        <v>45</v>
      </c>
      <c r="H163" s="70" t="s">
        <v>28</v>
      </c>
      <c r="I163" s="71"/>
    </row>
    <row r="164" ht="17.25" customHeight="1">
      <c r="A164" s="61"/>
      <c r="B164" s="63" t="b">
        <v>0</v>
      </c>
      <c r="C164" s="64">
        <v>157.0</v>
      </c>
      <c r="D164" s="66">
        <v>45493.0</v>
      </c>
      <c r="E164" s="67" t="s">
        <v>55</v>
      </c>
      <c r="F164" s="69">
        <v>45000.0</v>
      </c>
      <c r="G164" s="70" t="s">
        <v>166</v>
      </c>
      <c r="H164" s="70" t="s">
        <v>28</v>
      </c>
      <c r="I164" s="71"/>
    </row>
    <row r="165" ht="17.25" customHeight="1">
      <c r="A165" s="61"/>
      <c r="B165" s="63" t="b">
        <v>0</v>
      </c>
      <c r="C165" s="64">
        <v>158.0</v>
      </c>
      <c r="D165" s="66">
        <v>45494.0</v>
      </c>
      <c r="E165" s="67" t="s">
        <v>55</v>
      </c>
      <c r="F165" s="69">
        <v>33000.0</v>
      </c>
      <c r="G165" s="70" t="s">
        <v>100</v>
      </c>
      <c r="H165" s="70" t="s">
        <v>28</v>
      </c>
      <c r="I165" s="71"/>
    </row>
    <row r="166" ht="17.25" customHeight="1">
      <c r="A166" s="61"/>
      <c r="B166" s="63" t="b">
        <v>0</v>
      </c>
      <c r="C166" s="64">
        <v>159.0</v>
      </c>
      <c r="D166" s="66">
        <v>45496.0</v>
      </c>
      <c r="E166" s="67" t="s">
        <v>55</v>
      </c>
      <c r="F166" s="69">
        <v>2500.0</v>
      </c>
      <c r="G166" s="70" t="s">
        <v>33</v>
      </c>
      <c r="H166" s="70" t="s">
        <v>28</v>
      </c>
      <c r="I166" s="71"/>
    </row>
    <row r="167" ht="17.25" customHeight="1">
      <c r="A167" s="61"/>
      <c r="B167" s="63" t="b">
        <v>0</v>
      </c>
      <c r="C167" s="64">
        <v>160.0</v>
      </c>
      <c r="D167" s="66">
        <v>45496.0</v>
      </c>
      <c r="E167" s="67" t="s">
        <v>89</v>
      </c>
      <c r="F167" s="69">
        <v>59000.0</v>
      </c>
      <c r="G167" s="70" t="s">
        <v>168</v>
      </c>
      <c r="H167" s="70" t="s">
        <v>28</v>
      </c>
      <c r="I167" s="71"/>
    </row>
    <row r="168" ht="17.25" customHeight="1">
      <c r="A168" s="61"/>
      <c r="B168" s="63" t="b">
        <v>0</v>
      </c>
      <c r="C168" s="64">
        <v>161.0</v>
      </c>
      <c r="D168" s="66">
        <v>45497.0</v>
      </c>
      <c r="E168" s="67" t="s">
        <v>55</v>
      </c>
      <c r="F168" s="69">
        <v>33000.0</v>
      </c>
      <c r="G168" s="70" t="s">
        <v>100</v>
      </c>
      <c r="H168" s="70" t="s">
        <v>28</v>
      </c>
      <c r="I168" s="71"/>
    </row>
    <row r="169" ht="17.25" customHeight="1">
      <c r="A169" s="61"/>
      <c r="B169" s="63" t="b">
        <v>0</v>
      </c>
      <c r="C169" s="64">
        <v>162.0</v>
      </c>
      <c r="D169" s="66">
        <v>45497.0</v>
      </c>
      <c r="E169" s="67" t="s">
        <v>89</v>
      </c>
      <c r="F169" s="69">
        <v>16000.0</v>
      </c>
      <c r="G169" s="70" t="s">
        <v>170</v>
      </c>
      <c r="H169" s="70" t="s">
        <v>28</v>
      </c>
      <c r="I169" s="71"/>
    </row>
    <row r="170" ht="17.25" customHeight="1">
      <c r="A170" s="61"/>
      <c r="B170" s="63" t="b">
        <v>0</v>
      </c>
      <c r="C170" s="64">
        <v>163.0</v>
      </c>
      <c r="D170" s="66">
        <v>45497.0</v>
      </c>
      <c r="E170" s="67" t="s">
        <v>89</v>
      </c>
      <c r="F170" s="69">
        <v>59000.0</v>
      </c>
      <c r="G170" s="70" t="s">
        <v>171</v>
      </c>
      <c r="H170" s="70" t="s">
        <v>28</v>
      </c>
      <c r="I170" s="71"/>
    </row>
    <row r="171" ht="17.25" customHeight="1">
      <c r="A171" s="61"/>
      <c r="B171" s="63" t="b">
        <v>0</v>
      </c>
      <c r="C171" s="64">
        <v>164.0</v>
      </c>
      <c r="D171" s="66">
        <v>45497.0</v>
      </c>
      <c r="E171" s="67" t="s">
        <v>55</v>
      </c>
      <c r="F171" s="69">
        <v>2000.0</v>
      </c>
      <c r="G171" s="70" t="s">
        <v>33</v>
      </c>
      <c r="H171" s="70" t="s">
        <v>28</v>
      </c>
      <c r="I171" s="71"/>
    </row>
    <row r="172" ht="17.25" customHeight="1">
      <c r="A172" s="61"/>
      <c r="B172" s="63" t="b">
        <v>0</v>
      </c>
      <c r="C172" s="64">
        <v>165.0</v>
      </c>
      <c r="D172" s="66">
        <v>45497.0</v>
      </c>
      <c r="E172" s="67" t="s">
        <v>25</v>
      </c>
      <c r="F172" s="69">
        <v>16500.0</v>
      </c>
      <c r="G172" s="70" t="s">
        <v>45</v>
      </c>
      <c r="H172" s="70" t="s">
        <v>28</v>
      </c>
      <c r="I172" s="71"/>
    </row>
    <row r="173" ht="17.25" customHeight="1">
      <c r="A173" s="61"/>
      <c r="B173" s="63" t="b">
        <v>0</v>
      </c>
      <c r="C173" s="64">
        <v>166.0</v>
      </c>
      <c r="D173" s="66">
        <v>45498.0</v>
      </c>
      <c r="E173" s="67" t="s">
        <v>55</v>
      </c>
      <c r="F173" s="69">
        <v>2000.0</v>
      </c>
      <c r="G173" s="70" t="s">
        <v>33</v>
      </c>
      <c r="H173" s="70" t="s">
        <v>28</v>
      </c>
      <c r="I173" s="71"/>
    </row>
    <row r="174" ht="17.25" customHeight="1">
      <c r="A174" s="61"/>
      <c r="B174" s="63" t="b">
        <v>0</v>
      </c>
      <c r="C174" s="64">
        <v>167.0</v>
      </c>
      <c r="D174" s="66">
        <v>45498.0</v>
      </c>
      <c r="E174" s="67" t="s">
        <v>35</v>
      </c>
      <c r="F174" s="69">
        <v>202000.0</v>
      </c>
      <c r="G174" s="70" t="s">
        <v>36</v>
      </c>
      <c r="H174" s="70" t="s">
        <v>28</v>
      </c>
      <c r="I174" s="71"/>
    </row>
    <row r="175" ht="17.25" customHeight="1">
      <c r="A175" s="61"/>
      <c r="B175" s="63" t="b">
        <v>0</v>
      </c>
      <c r="C175" s="64">
        <v>168.0</v>
      </c>
      <c r="D175" s="66">
        <v>45500.0</v>
      </c>
      <c r="E175" s="67" t="s">
        <v>105</v>
      </c>
      <c r="F175" s="69">
        <v>27000.0</v>
      </c>
      <c r="G175" s="70" t="s">
        <v>172</v>
      </c>
      <c r="H175" s="70" t="s">
        <v>28</v>
      </c>
      <c r="I175" s="71"/>
    </row>
    <row r="176" ht="17.25" customHeight="1">
      <c r="A176" s="61"/>
      <c r="B176" s="63" t="b">
        <v>0</v>
      </c>
      <c r="C176" s="64">
        <v>169.0</v>
      </c>
      <c r="D176" s="66">
        <v>45500.0</v>
      </c>
      <c r="E176" s="67" t="s">
        <v>55</v>
      </c>
      <c r="F176" s="69">
        <v>33000.0</v>
      </c>
      <c r="G176" s="70" t="s">
        <v>100</v>
      </c>
      <c r="H176" s="70" t="s">
        <v>28</v>
      </c>
      <c r="I176" s="71"/>
    </row>
    <row r="177" ht="17.25" customHeight="1">
      <c r="A177" s="61"/>
      <c r="B177" s="63" t="b">
        <v>0</v>
      </c>
      <c r="C177" s="64">
        <v>170.0</v>
      </c>
      <c r="D177" s="66">
        <v>45500.0</v>
      </c>
      <c r="E177" s="67" t="s">
        <v>64</v>
      </c>
      <c r="F177" s="69">
        <v>4000.0</v>
      </c>
      <c r="G177" s="70" t="s">
        <v>66</v>
      </c>
      <c r="H177" s="70" t="s">
        <v>28</v>
      </c>
      <c r="I177" s="71"/>
    </row>
    <row r="178" ht="17.25" customHeight="1">
      <c r="A178" s="61"/>
      <c r="B178" s="63" t="b">
        <v>0</v>
      </c>
      <c r="C178" s="64">
        <v>171.0</v>
      </c>
      <c r="D178" s="66">
        <v>45500.0</v>
      </c>
      <c r="E178" s="67" t="s">
        <v>64</v>
      </c>
      <c r="F178" s="69">
        <v>7000.0</v>
      </c>
      <c r="G178" s="70" t="s">
        <v>174</v>
      </c>
      <c r="H178" s="70" t="s">
        <v>28</v>
      </c>
      <c r="I178" s="71"/>
    </row>
    <row r="179" ht="17.25" customHeight="1">
      <c r="A179" s="61"/>
      <c r="B179" s="63" t="b">
        <v>0</v>
      </c>
      <c r="C179" s="64">
        <v>172.0</v>
      </c>
      <c r="D179" s="66">
        <v>45500.0</v>
      </c>
      <c r="E179" s="67" t="s">
        <v>64</v>
      </c>
      <c r="F179" s="69">
        <v>6000.0</v>
      </c>
      <c r="G179" s="70" t="s">
        <v>175</v>
      </c>
      <c r="H179" s="70" t="s">
        <v>28</v>
      </c>
      <c r="I179" s="71"/>
    </row>
    <row r="180" ht="17.25" customHeight="1">
      <c r="A180" s="61"/>
      <c r="B180" s="63" t="b">
        <v>0</v>
      </c>
      <c r="C180" s="64">
        <v>173.0</v>
      </c>
      <c r="D180" s="66">
        <v>45500.0</v>
      </c>
      <c r="E180" s="67" t="s">
        <v>25</v>
      </c>
      <c r="F180" s="69">
        <v>14000.0</v>
      </c>
      <c r="G180" s="70" t="s">
        <v>176</v>
      </c>
      <c r="H180" s="70" t="s">
        <v>28</v>
      </c>
      <c r="I180" s="71"/>
    </row>
    <row r="181" ht="17.25" customHeight="1">
      <c r="A181" s="61"/>
      <c r="B181" s="63" t="b">
        <v>0</v>
      </c>
      <c r="C181" s="64">
        <v>174.0</v>
      </c>
      <c r="D181" s="66">
        <v>45500.0</v>
      </c>
      <c r="E181" s="67" t="s">
        <v>55</v>
      </c>
      <c r="F181" s="69">
        <v>24000.0</v>
      </c>
      <c r="G181" s="70" t="s">
        <v>57</v>
      </c>
      <c r="H181" s="70" t="s">
        <v>28</v>
      </c>
      <c r="I181" s="71"/>
    </row>
    <row r="182" ht="17.25" customHeight="1">
      <c r="A182" s="61"/>
      <c r="B182" s="63" t="b">
        <v>0</v>
      </c>
      <c r="C182" s="64">
        <v>175.0</v>
      </c>
      <c r="D182" s="66">
        <v>45500.0</v>
      </c>
      <c r="E182" s="67" t="s">
        <v>177</v>
      </c>
      <c r="F182" s="69">
        <v>11500.0</v>
      </c>
      <c r="G182" s="70" t="s">
        <v>178</v>
      </c>
      <c r="H182" s="70" t="s">
        <v>28</v>
      </c>
      <c r="I182" s="71"/>
    </row>
    <row r="183" ht="17.25" customHeight="1">
      <c r="A183" s="61"/>
      <c r="B183" s="63" t="b">
        <v>0</v>
      </c>
      <c r="C183" s="64">
        <v>176.0</v>
      </c>
      <c r="D183" s="66">
        <v>45500.0</v>
      </c>
      <c r="E183" s="67" t="s">
        <v>25</v>
      </c>
      <c r="F183" s="69">
        <v>21600.0</v>
      </c>
      <c r="G183" s="70" t="s">
        <v>141</v>
      </c>
      <c r="H183" s="70" t="s">
        <v>28</v>
      </c>
      <c r="I183" s="71"/>
    </row>
    <row r="184" ht="17.25" customHeight="1">
      <c r="A184" s="61"/>
      <c r="B184" s="63" t="b">
        <v>0</v>
      </c>
      <c r="C184" s="64">
        <v>177.0</v>
      </c>
      <c r="D184" s="66">
        <v>45500.0</v>
      </c>
      <c r="E184" s="67" t="s">
        <v>59</v>
      </c>
      <c r="F184" s="69">
        <v>2000.0</v>
      </c>
      <c r="G184" s="70" t="s">
        <v>61</v>
      </c>
      <c r="H184" s="70" t="s">
        <v>28</v>
      </c>
      <c r="I184" s="71"/>
    </row>
    <row r="185" ht="17.25" customHeight="1">
      <c r="A185" s="61"/>
      <c r="B185" s="63" t="b">
        <v>0</v>
      </c>
      <c r="C185" s="64">
        <v>178.0</v>
      </c>
      <c r="D185" s="66">
        <v>45500.0</v>
      </c>
      <c r="E185" s="67" t="s">
        <v>55</v>
      </c>
      <c r="F185" s="69">
        <v>2000.0</v>
      </c>
      <c r="G185" s="70" t="s">
        <v>33</v>
      </c>
      <c r="H185" s="70" t="s">
        <v>28</v>
      </c>
      <c r="I185" s="71"/>
    </row>
    <row r="186" ht="17.25" customHeight="1">
      <c r="A186" s="61"/>
      <c r="B186" s="63" t="b">
        <v>0</v>
      </c>
      <c r="C186" s="64">
        <v>179.0</v>
      </c>
      <c r="D186" s="66">
        <v>45500.0</v>
      </c>
      <c r="E186" s="67" t="s">
        <v>179</v>
      </c>
      <c r="F186" s="69">
        <v>9779043.0</v>
      </c>
      <c r="G186" s="70" t="s">
        <v>180</v>
      </c>
      <c r="H186" s="70" t="s">
        <v>63</v>
      </c>
      <c r="I186" s="71"/>
    </row>
    <row r="187" ht="17.25" customHeight="1">
      <c r="A187" s="61"/>
      <c r="B187" s="63" t="b">
        <v>0</v>
      </c>
      <c r="C187" s="64">
        <v>180.0</v>
      </c>
      <c r="D187" s="66">
        <v>45501.0</v>
      </c>
      <c r="E187" s="67" t="s">
        <v>55</v>
      </c>
      <c r="F187" s="69">
        <v>2000.0</v>
      </c>
      <c r="G187" s="70" t="s">
        <v>33</v>
      </c>
      <c r="H187" s="70" t="s">
        <v>28</v>
      </c>
      <c r="I187" s="71"/>
    </row>
    <row r="188" ht="17.25" customHeight="1">
      <c r="A188" s="61"/>
      <c r="B188" s="63" t="b">
        <v>0</v>
      </c>
      <c r="C188" s="64">
        <v>181.0</v>
      </c>
      <c r="D188" s="66">
        <v>45502.0</v>
      </c>
      <c r="E188" s="67" t="s">
        <v>55</v>
      </c>
      <c r="F188" s="69">
        <v>3000.0</v>
      </c>
      <c r="G188" s="70" t="s">
        <v>33</v>
      </c>
      <c r="H188" s="70" t="s">
        <v>28</v>
      </c>
      <c r="I188" s="71"/>
    </row>
    <row r="189" ht="17.25" customHeight="1">
      <c r="A189" s="61"/>
      <c r="B189" s="63" t="b">
        <v>0</v>
      </c>
      <c r="C189" s="64">
        <v>182.0</v>
      </c>
      <c r="D189" s="66">
        <v>45502.0</v>
      </c>
      <c r="E189" s="67" t="s">
        <v>64</v>
      </c>
      <c r="F189" s="69">
        <v>4000.0</v>
      </c>
      <c r="G189" s="70" t="s">
        <v>66</v>
      </c>
      <c r="H189" s="70" t="s">
        <v>28</v>
      </c>
      <c r="I189" s="71"/>
    </row>
    <row r="190" ht="17.25" customHeight="1">
      <c r="A190" s="61"/>
      <c r="B190" s="63" t="b">
        <v>0</v>
      </c>
      <c r="C190" s="64">
        <v>183.0</v>
      </c>
      <c r="D190" s="66">
        <v>45502.0</v>
      </c>
      <c r="E190" s="67" t="s">
        <v>55</v>
      </c>
      <c r="F190" s="69">
        <v>8000.0</v>
      </c>
      <c r="G190" s="70" t="s">
        <v>183</v>
      </c>
      <c r="H190" s="70" t="s">
        <v>28</v>
      </c>
      <c r="I190" s="71"/>
    </row>
    <row r="191" ht="17.25" customHeight="1">
      <c r="A191" s="61"/>
      <c r="B191" s="63" t="b">
        <v>0</v>
      </c>
      <c r="C191" s="64">
        <v>184.0</v>
      </c>
      <c r="D191" s="66">
        <v>45502.0</v>
      </c>
      <c r="E191" s="67" t="s">
        <v>55</v>
      </c>
      <c r="F191" s="69">
        <v>13000.0</v>
      </c>
      <c r="G191" s="70" t="s">
        <v>60</v>
      </c>
      <c r="H191" s="70" t="s">
        <v>28</v>
      </c>
      <c r="I191" s="71"/>
    </row>
    <row r="192" ht="17.25" customHeight="1">
      <c r="A192" s="61"/>
      <c r="B192" s="63" t="b">
        <v>0</v>
      </c>
      <c r="C192" s="64">
        <v>185.0</v>
      </c>
      <c r="D192" s="66">
        <v>45502.0</v>
      </c>
      <c r="E192" s="67" t="s">
        <v>55</v>
      </c>
      <c r="F192" s="69">
        <v>8500.0</v>
      </c>
      <c r="G192" s="70" t="s">
        <v>184</v>
      </c>
      <c r="H192" s="70" t="s">
        <v>28</v>
      </c>
      <c r="I192" s="71"/>
    </row>
    <row r="193" ht="17.25" customHeight="1">
      <c r="A193" s="61"/>
      <c r="B193" s="63" t="b">
        <v>0</v>
      </c>
      <c r="C193" s="64">
        <v>186.0</v>
      </c>
      <c r="D193" s="66">
        <v>45503.0</v>
      </c>
      <c r="E193" s="67" t="s">
        <v>55</v>
      </c>
      <c r="F193" s="69">
        <v>2000.0</v>
      </c>
      <c r="G193" s="70" t="s">
        <v>33</v>
      </c>
      <c r="H193" s="70" t="s">
        <v>28</v>
      </c>
      <c r="I193" s="71"/>
    </row>
    <row r="194" ht="17.25" customHeight="1">
      <c r="A194" s="61"/>
      <c r="B194" s="63" t="b">
        <v>0</v>
      </c>
      <c r="C194" s="64">
        <v>187.0</v>
      </c>
      <c r="D194" s="66">
        <v>45503.0</v>
      </c>
      <c r="E194" s="67" t="s">
        <v>55</v>
      </c>
      <c r="F194" s="69">
        <v>33000.0</v>
      </c>
      <c r="G194" s="70" t="s">
        <v>100</v>
      </c>
      <c r="H194" s="70" t="s">
        <v>28</v>
      </c>
      <c r="I194" s="71"/>
    </row>
    <row r="195" ht="17.25" customHeight="1">
      <c r="A195" s="61"/>
      <c r="B195" s="63" t="b">
        <v>0</v>
      </c>
      <c r="C195" s="64">
        <v>188.0</v>
      </c>
      <c r="D195" s="66">
        <v>45503.0</v>
      </c>
      <c r="E195" s="67" t="s">
        <v>25</v>
      </c>
      <c r="F195" s="69">
        <v>16500.0</v>
      </c>
      <c r="G195" s="70" t="s">
        <v>45</v>
      </c>
      <c r="H195" s="70" t="s">
        <v>28</v>
      </c>
      <c r="I195" s="71"/>
    </row>
    <row r="196" ht="17.25" customHeight="1">
      <c r="A196" s="61"/>
      <c r="B196" s="63" t="b">
        <v>0</v>
      </c>
      <c r="C196" s="64">
        <v>189.0</v>
      </c>
      <c r="D196" s="66">
        <v>45504.0</v>
      </c>
      <c r="E196" s="67" t="s">
        <v>55</v>
      </c>
      <c r="F196" s="69">
        <v>4000.0</v>
      </c>
      <c r="G196" s="70" t="s">
        <v>33</v>
      </c>
      <c r="H196" s="70" t="s">
        <v>28</v>
      </c>
      <c r="I196" s="71"/>
    </row>
    <row r="197" ht="17.25" customHeight="1">
      <c r="A197" s="61"/>
      <c r="B197" s="63" t="b">
        <v>0</v>
      </c>
      <c r="C197" s="64">
        <v>190.0</v>
      </c>
      <c r="D197" s="66">
        <v>45504.0</v>
      </c>
      <c r="E197" s="67" t="s">
        <v>35</v>
      </c>
      <c r="F197" s="69">
        <v>201905.0</v>
      </c>
      <c r="G197" s="70" t="s">
        <v>36</v>
      </c>
      <c r="H197" s="70" t="s">
        <v>28</v>
      </c>
      <c r="I197" s="71"/>
    </row>
    <row r="198" ht="17.25" customHeight="1">
      <c r="A198" s="61"/>
      <c r="B198" s="63" t="b">
        <v>0</v>
      </c>
      <c r="C198" s="64">
        <v>191.0</v>
      </c>
      <c r="D198" s="66">
        <v>45505.0</v>
      </c>
      <c r="E198" s="67" t="s">
        <v>55</v>
      </c>
      <c r="F198" s="69">
        <v>10000.0</v>
      </c>
      <c r="G198" s="70" t="s">
        <v>187</v>
      </c>
      <c r="H198" s="70" t="s">
        <v>28</v>
      </c>
      <c r="I198" s="71"/>
    </row>
    <row r="199" ht="17.25" customHeight="1">
      <c r="A199" s="61"/>
      <c r="B199" s="63" t="b">
        <v>0</v>
      </c>
      <c r="C199" s="64">
        <v>192.0</v>
      </c>
      <c r="D199" s="66">
        <v>45505.0</v>
      </c>
      <c r="E199" s="67" t="s">
        <v>55</v>
      </c>
      <c r="F199" s="69">
        <v>7000.0</v>
      </c>
      <c r="G199" s="70" t="s">
        <v>33</v>
      </c>
      <c r="H199" s="70" t="s">
        <v>28</v>
      </c>
      <c r="I199" s="71"/>
    </row>
    <row r="200" ht="17.25" customHeight="1">
      <c r="A200" s="61"/>
      <c r="B200" s="63" t="b">
        <v>0</v>
      </c>
      <c r="C200" s="64">
        <v>193.0</v>
      </c>
      <c r="D200" s="66">
        <v>45505.0</v>
      </c>
      <c r="E200" s="67" t="s">
        <v>55</v>
      </c>
      <c r="F200" s="69">
        <v>13000.0</v>
      </c>
      <c r="G200" s="70" t="s">
        <v>103</v>
      </c>
      <c r="H200" s="70" t="s">
        <v>28</v>
      </c>
      <c r="I200" s="71"/>
    </row>
    <row r="201" ht="17.25" customHeight="1">
      <c r="A201" s="61"/>
      <c r="B201" s="63" t="b">
        <v>0</v>
      </c>
      <c r="C201" s="64">
        <v>194.0</v>
      </c>
      <c r="D201" s="66">
        <v>45505.0</v>
      </c>
      <c r="E201" s="67" t="s">
        <v>55</v>
      </c>
      <c r="F201" s="69">
        <v>33000.0</v>
      </c>
      <c r="G201" s="70" t="s">
        <v>100</v>
      </c>
      <c r="H201" s="70" t="s">
        <v>28</v>
      </c>
      <c r="I201" s="71"/>
    </row>
    <row r="202" ht="17.25" customHeight="1">
      <c r="A202" s="61"/>
      <c r="B202" s="63" t="b">
        <v>0</v>
      </c>
      <c r="C202" s="64">
        <v>195.0</v>
      </c>
      <c r="D202" s="66">
        <v>45506.0</v>
      </c>
      <c r="E202" s="67" t="s">
        <v>86</v>
      </c>
      <c r="F202" s="69">
        <v>280000.0</v>
      </c>
      <c r="G202" s="70" t="s">
        <v>188</v>
      </c>
      <c r="H202" s="70" t="s">
        <v>28</v>
      </c>
      <c r="I202" s="71"/>
    </row>
    <row r="203" ht="17.25" customHeight="1">
      <c r="A203" s="61"/>
      <c r="B203" s="63" t="b">
        <v>0</v>
      </c>
      <c r="C203" s="64">
        <v>196.0</v>
      </c>
      <c r="D203" s="66">
        <v>45507.0</v>
      </c>
      <c r="E203" s="67" t="s">
        <v>55</v>
      </c>
      <c r="F203" s="69">
        <v>10000.0</v>
      </c>
      <c r="G203" s="70" t="s">
        <v>33</v>
      </c>
      <c r="H203" s="70" t="s">
        <v>28</v>
      </c>
      <c r="I203" s="71"/>
    </row>
    <row r="204" ht="17.25" customHeight="1">
      <c r="A204" s="61"/>
      <c r="B204" s="63" t="b">
        <v>0</v>
      </c>
      <c r="C204" s="64">
        <v>197.0</v>
      </c>
      <c r="D204" s="66">
        <v>45507.0</v>
      </c>
      <c r="E204" s="67" t="s">
        <v>55</v>
      </c>
      <c r="F204" s="69">
        <v>16500.0</v>
      </c>
      <c r="G204" s="70" t="s">
        <v>45</v>
      </c>
      <c r="H204" s="70" t="s">
        <v>28</v>
      </c>
      <c r="I204" s="71"/>
    </row>
    <row r="205" ht="17.25" customHeight="1">
      <c r="A205" s="61"/>
      <c r="B205" s="63" t="b">
        <v>0</v>
      </c>
      <c r="C205" s="64">
        <v>198.0</v>
      </c>
      <c r="D205" s="66">
        <v>45508.0</v>
      </c>
      <c r="E205" s="67" t="s">
        <v>55</v>
      </c>
      <c r="F205" s="69">
        <v>33000.0</v>
      </c>
      <c r="G205" s="70" t="s">
        <v>100</v>
      </c>
      <c r="H205" s="70" t="s">
        <v>28</v>
      </c>
      <c r="I205" s="71"/>
    </row>
    <row r="206" ht="17.25" customHeight="1">
      <c r="A206" s="61"/>
      <c r="B206" s="63" t="b">
        <v>0</v>
      </c>
      <c r="C206" s="64">
        <v>199.0</v>
      </c>
      <c r="D206" s="66">
        <v>45508.0</v>
      </c>
      <c r="E206" s="67" t="s">
        <v>55</v>
      </c>
      <c r="F206" s="69">
        <v>2500.0</v>
      </c>
      <c r="G206" s="70" t="s">
        <v>33</v>
      </c>
      <c r="H206" s="70" t="s">
        <v>28</v>
      </c>
      <c r="I206" s="71"/>
    </row>
    <row r="207" ht="17.25" customHeight="1">
      <c r="A207" s="61"/>
      <c r="B207" s="63" t="b">
        <v>0</v>
      </c>
      <c r="C207" s="64">
        <v>200.0</v>
      </c>
      <c r="D207" s="66">
        <v>45509.0</v>
      </c>
      <c r="E207" s="67" t="s">
        <v>55</v>
      </c>
      <c r="F207" s="69">
        <v>2500.0</v>
      </c>
      <c r="G207" s="70" t="s">
        <v>33</v>
      </c>
      <c r="H207" s="70" t="s">
        <v>28</v>
      </c>
      <c r="I207" s="71"/>
    </row>
    <row r="208" ht="17.25" customHeight="1">
      <c r="A208" s="61"/>
      <c r="B208" s="63" t="b">
        <v>0</v>
      </c>
      <c r="C208" s="64">
        <v>201.0</v>
      </c>
      <c r="D208" s="66">
        <v>45509.0</v>
      </c>
      <c r="E208" s="67" t="s">
        <v>35</v>
      </c>
      <c r="F208" s="69">
        <v>201914.0</v>
      </c>
      <c r="G208" s="70" t="s">
        <v>36</v>
      </c>
      <c r="H208" s="70" t="s">
        <v>28</v>
      </c>
      <c r="I208" s="71"/>
    </row>
    <row r="209" ht="17.25" customHeight="1">
      <c r="A209" s="61"/>
      <c r="B209" s="63" t="b">
        <v>0</v>
      </c>
      <c r="C209" s="64">
        <v>202.0</v>
      </c>
      <c r="D209" s="66">
        <v>45510.0</v>
      </c>
      <c r="E209" s="67" t="s">
        <v>55</v>
      </c>
      <c r="F209" s="69">
        <v>2000.0</v>
      </c>
      <c r="G209" s="70" t="s">
        <v>33</v>
      </c>
      <c r="H209" s="70" t="s">
        <v>28</v>
      </c>
      <c r="I209" s="71"/>
    </row>
    <row r="210" ht="17.25" customHeight="1">
      <c r="A210" s="61"/>
      <c r="B210" s="63" t="b">
        <v>0</v>
      </c>
      <c r="C210" s="64">
        <v>203.0</v>
      </c>
      <c r="D210" s="66">
        <v>45511.0</v>
      </c>
      <c r="E210" s="67" t="s">
        <v>25</v>
      </c>
      <c r="F210" s="69">
        <v>16500.0</v>
      </c>
      <c r="G210" s="70" t="s">
        <v>45</v>
      </c>
      <c r="H210" s="70" t="s">
        <v>28</v>
      </c>
      <c r="I210" s="71"/>
    </row>
    <row r="211" ht="17.25" customHeight="1">
      <c r="A211" s="61"/>
      <c r="B211" s="63" t="b">
        <v>0</v>
      </c>
      <c r="C211" s="64">
        <v>204.0</v>
      </c>
      <c r="D211" s="66">
        <v>45511.0</v>
      </c>
      <c r="E211" s="67" t="s">
        <v>55</v>
      </c>
      <c r="F211" s="69">
        <v>33000.0</v>
      </c>
      <c r="G211" s="70" t="s">
        <v>100</v>
      </c>
      <c r="H211" s="70" t="s">
        <v>28</v>
      </c>
      <c r="I211" s="71"/>
    </row>
    <row r="212" ht="17.25" customHeight="1">
      <c r="A212" s="61"/>
      <c r="B212" s="63" t="b">
        <v>0</v>
      </c>
      <c r="C212" s="64">
        <v>205.0</v>
      </c>
      <c r="D212" s="66">
        <v>45511.0</v>
      </c>
      <c r="E212" s="67" t="s">
        <v>55</v>
      </c>
      <c r="F212" s="69">
        <v>2500.0</v>
      </c>
      <c r="G212" s="70" t="s">
        <v>33</v>
      </c>
      <c r="H212" s="70" t="s">
        <v>28</v>
      </c>
      <c r="I212" s="71"/>
    </row>
    <row r="213" ht="17.25" customHeight="1">
      <c r="A213" s="61"/>
      <c r="B213" s="63" t="b">
        <v>0</v>
      </c>
      <c r="C213" s="64">
        <v>206.0</v>
      </c>
      <c r="D213" s="66">
        <v>45512.0</v>
      </c>
      <c r="E213" s="67" t="s">
        <v>55</v>
      </c>
      <c r="F213" s="69">
        <v>4000.0</v>
      </c>
      <c r="G213" s="70" t="s">
        <v>33</v>
      </c>
      <c r="H213" s="70" t="s">
        <v>28</v>
      </c>
      <c r="I213" s="71"/>
    </row>
    <row r="214" ht="17.25" customHeight="1">
      <c r="A214" s="61"/>
      <c r="B214" s="63" t="b">
        <v>0</v>
      </c>
      <c r="C214" s="64">
        <v>207.0</v>
      </c>
      <c r="D214" s="66">
        <v>45514.0</v>
      </c>
      <c r="E214" s="67" t="s">
        <v>55</v>
      </c>
      <c r="F214" s="69">
        <v>4000.0</v>
      </c>
      <c r="G214" s="70" t="s">
        <v>33</v>
      </c>
      <c r="H214" s="70" t="s">
        <v>28</v>
      </c>
      <c r="I214" s="71"/>
    </row>
    <row r="215" ht="17.25" customHeight="1">
      <c r="A215" s="61"/>
      <c r="B215" s="63" t="b">
        <v>0</v>
      </c>
      <c r="C215" s="64">
        <v>208.0</v>
      </c>
      <c r="D215" s="66">
        <v>45514.0</v>
      </c>
      <c r="E215" s="67" t="s">
        <v>55</v>
      </c>
      <c r="F215" s="69">
        <v>33000.0</v>
      </c>
      <c r="G215" s="70" t="s">
        <v>100</v>
      </c>
      <c r="H215" s="70" t="s">
        <v>28</v>
      </c>
      <c r="I215" s="71"/>
    </row>
    <row r="216" ht="17.25" customHeight="1">
      <c r="A216" s="61"/>
      <c r="B216" s="63" t="b">
        <v>0</v>
      </c>
      <c r="C216" s="64">
        <v>209.0</v>
      </c>
      <c r="D216" s="66">
        <v>45514.0</v>
      </c>
      <c r="E216" s="67" t="s">
        <v>89</v>
      </c>
      <c r="F216" s="69">
        <v>6000.0</v>
      </c>
      <c r="G216" s="70" t="s">
        <v>190</v>
      </c>
      <c r="H216" s="70" t="s">
        <v>28</v>
      </c>
      <c r="I216" s="71"/>
    </row>
    <row r="217" ht="17.25" customHeight="1">
      <c r="A217" s="61"/>
      <c r="B217" s="63" t="b">
        <v>0</v>
      </c>
      <c r="C217" s="64">
        <v>210.0</v>
      </c>
      <c r="D217" s="66">
        <v>45514.0</v>
      </c>
      <c r="E217" s="67" t="s">
        <v>55</v>
      </c>
      <c r="F217" s="69">
        <v>31000.0</v>
      </c>
      <c r="G217" s="70" t="s">
        <v>191</v>
      </c>
      <c r="H217" s="70" t="s">
        <v>28</v>
      </c>
      <c r="I217" s="71"/>
    </row>
    <row r="218" ht="17.25" customHeight="1">
      <c r="A218" s="61"/>
      <c r="B218" s="63" t="b">
        <v>0</v>
      </c>
      <c r="C218" s="64">
        <v>211.0</v>
      </c>
      <c r="D218" s="66">
        <v>45515.0</v>
      </c>
      <c r="E218" s="67" t="s">
        <v>35</v>
      </c>
      <c r="F218" s="69">
        <v>201916.0</v>
      </c>
      <c r="G218" s="70" t="s">
        <v>36</v>
      </c>
      <c r="H218" s="70" t="s">
        <v>28</v>
      </c>
      <c r="I218" s="71"/>
    </row>
    <row r="219" ht="17.25" customHeight="1">
      <c r="A219" s="61"/>
      <c r="B219" s="63" t="b">
        <v>0</v>
      </c>
      <c r="C219" s="64">
        <v>212.0</v>
      </c>
      <c r="D219" s="66">
        <v>45515.0</v>
      </c>
      <c r="E219" s="67" t="s">
        <v>89</v>
      </c>
      <c r="F219" s="69">
        <v>20000.0</v>
      </c>
      <c r="G219" s="70" t="s">
        <v>192</v>
      </c>
      <c r="H219" s="70" t="s">
        <v>28</v>
      </c>
      <c r="I219" s="71"/>
    </row>
    <row r="220" ht="17.25" customHeight="1">
      <c r="A220" s="61"/>
      <c r="B220" s="63" t="b">
        <v>0</v>
      </c>
      <c r="C220" s="64">
        <v>213.0</v>
      </c>
      <c r="D220" s="66">
        <v>45515.0</v>
      </c>
      <c r="E220" s="67" t="s">
        <v>89</v>
      </c>
      <c r="F220" s="69">
        <v>2000.0</v>
      </c>
      <c r="G220" s="70" t="s">
        <v>193</v>
      </c>
      <c r="H220" s="70" t="s">
        <v>28</v>
      </c>
      <c r="I220" s="71"/>
    </row>
    <row r="221" ht="17.25" customHeight="1">
      <c r="A221" s="61"/>
      <c r="B221" s="63" t="b">
        <v>0</v>
      </c>
      <c r="C221" s="64">
        <v>214.0</v>
      </c>
      <c r="D221" s="66">
        <v>45515.0</v>
      </c>
      <c r="E221" s="67" t="s">
        <v>89</v>
      </c>
      <c r="F221" s="69">
        <v>8000.0</v>
      </c>
      <c r="G221" s="70" t="s">
        <v>194</v>
      </c>
      <c r="H221" s="70" t="s">
        <v>28</v>
      </c>
      <c r="I221" s="71"/>
    </row>
    <row r="222" ht="17.25" customHeight="1">
      <c r="A222" s="61"/>
      <c r="B222" s="63" t="b">
        <v>0</v>
      </c>
      <c r="C222" s="64">
        <v>215.0</v>
      </c>
      <c r="D222" s="66">
        <v>45515.0</v>
      </c>
      <c r="E222" s="67" t="s">
        <v>55</v>
      </c>
      <c r="F222" s="69">
        <v>2000.0</v>
      </c>
      <c r="G222" s="70" t="s">
        <v>33</v>
      </c>
      <c r="H222" s="70" t="s">
        <v>28</v>
      </c>
      <c r="I222" s="71"/>
    </row>
    <row r="223" ht="17.25" customHeight="1">
      <c r="A223" s="61"/>
      <c r="B223" s="63" t="b">
        <v>0</v>
      </c>
      <c r="C223" s="64">
        <v>216.0</v>
      </c>
      <c r="D223" s="66">
        <v>45516.0</v>
      </c>
      <c r="E223" s="67" t="s">
        <v>55</v>
      </c>
      <c r="F223" s="69">
        <v>2000.0</v>
      </c>
      <c r="G223" s="70" t="s">
        <v>33</v>
      </c>
      <c r="H223" s="70" t="s">
        <v>28</v>
      </c>
      <c r="I223" s="71"/>
    </row>
    <row r="224" ht="17.25" customHeight="1">
      <c r="A224" s="61"/>
      <c r="B224" s="63" t="b">
        <v>0</v>
      </c>
      <c r="C224" s="64">
        <v>217.0</v>
      </c>
      <c r="D224" s="66">
        <v>45517.0</v>
      </c>
      <c r="E224" s="67" t="s">
        <v>55</v>
      </c>
      <c r="F224" s="69">
        <v>33000.0</v>
      </c>
      <c r="G224" s="70" t="s">
        <v>100</v>
      </c>
      <c r="H224" s="70" t="s">
        <v>28</v>
      </c>
      <c r="I224" s="71"/>
    </row>
    <row r="225" ht="17.25" customHeight="1">
      <c r="A225" s="61"/>
      <c r="B225" s="63" t="b">
        <v>0</v>
      </c>
      <c r="C225" s="64">
        <v>218.0</v>
      </c>
      <c r="D225" s="66">
        <v>45517.0</v>
      </c>
      <c r="E225" s="67" t="s">
        <v>55</v>
      </c>
      <c r="F225" s="69">
        <v>2000.0</v>
      </c>
      <c r="G225" s="70" t="s">
        <v>33</v>
      </c>
      <c r="H225" s="70" t="s">
        <v>28</v>
      </c>
      <c r="I225" s="71"/>
    </row>
    <row r="226" ht="17.25" customHeight="1">
      <c r="A226" s="61"/>
      <c r="B226" s="63" t="b">
        <v>0</v>
      </c>
      <c r="C226" s="64">
        <v>219.0</v>
      </c>
      <c r="D226" s="66">
        <v>45517.0</v>
      </c>
      <c r="E226" s="67" t="s">
        <v>195</v>
      </c>
      <c r="F226" s="69">
        <v>27000.0</v>
      </c>
      <c r="G226" s="70" t="s">
        <v>196</v>
      </c>
      <c r="H226" s="70" t="s">
        <v>28</v>
      </c>
      <c r="I226" s="71"/>
    </row>
    <row r="227" ht="17.25" customHeight="1">
      <c r="A227" s="61"/>
      <c r="B227" s="63" t="b">
        <v>0</v>
      </c>
      <c r="C227" s="64">
        <v>220.0</v>
      </c>
      <c r="D227" s="66">
        <v>45517.0</v>
      </c>
      <c r="E227" s="67" t="s">
        <v>195</v>
      </c>
      <c r="F227" s="69">
        <v>20000.0</v>
      </c>
      <c r="G227" s="70" t="s">
        <v>197</v>
      </c>
      <c r="H227" s="70" t="s">
        <v>28</v>
      </c>
      <c r="I227" s="71"/>
    </row>
    <row r="228" ht="17.25" customHeight="1">
      <c r="A228" s="61"/>
      <c r="B228" s="63" t="b">
        <v>0</v>
      </c>
      <c r="C228" s="64">
        <v>221.0</v>
      </c>
      <c r="D228" s="66">
        <v>45517.0</v>
      </c>
      <c r="E228" s="67" t="s">
        <v>64</v>
      </c>
      <c r="F228" s="69">
        <v>8000.0</v>
      </c>
      <c r="G228" s="70" t="s">
        <v>198</v>
      </c>
      <c r="H228" s="70" t="s">
        <v>28</v>
      </c>
      <c r="I228" s="71"/>
    </row>
    <row r="229" ht="17.25" customHeight="1">
      <c r="A229" s="61"/>
      <c r="B229" s="63" t="b">
        <v>0</v>
      </c>
      <c r="C229" s="64">
        <v>222.0</v>
      </c>
      <c r="D229" s="66">
        <v>45517.0</v>
      </c>
      <c r="E229" s="67" t="s">
        <v>55</v>
      </c>
      <c r="F229" s="69">
        <v>36000.0</v>
      </c>
      <c r="G229" s="70" t="s">
        <v>200</v>
      </c>
      <c r="H229" s="70" t="s">
        <v>28</v>
      </c>
      <c r="I229" s="71"/>
    </row>
    <row r="230" ht="17.25" customHeight="1">
      <c r="A230" s="61"/>
      <c r="B230" s="63" t="b">
        <v>0</v>
      </c>
      <c r="C230" s="64">
        <v>223.0</v>
      </c>
      <c r="D230" s="66">
        <v>45517.0</v>
      </c>
      <c r="E230" s="67" t="s">
        <v>55</v>
      </c>
      <c r="F230" s="69">
        <v>11000.0</v>
      </c>
      <c r="G230" s="70" t="s">
        <v>201</v>
      </c>
      <c r="H230" s="70" t="s">
        <v>28</v>
      </c>
      <c r="I230" s="71"/>
    </row>
    <row r="231" ht="17.25" customHeight="1">
      <c r="A231" s="61"/>
      <c r="B231" s="63" t="b">
        <v>0</v>
      </c>
      <c r="C231" s="64">
        <v>224.0</v>
      </c>
      <c r="D231" s="66">
        <v>45518.0</v>
      </c>
      <c r="E231" s="67" t="s">
        <v>55</v>
      </c>
      <c r="F231" s="69">
        <v>2000.0</v>
      </c>
      <c r="G231" s="70" t="s">
        <v>33</v>
      </c>
      <c r="H231" s="70" t="s">
        <v>28</v>
      </c>
      <c r="I231" s="71"/>
    </row>
    <row r="232" ht="17.25" customHeight="1">
      <c r="A232" s="61"/>
      <c r="B232" s="63" t="b">
        <v>0</v>
      </c>
      <c r="C232" s="64">
        <v>225.0</v>
      </c>
      <c r="D232" s="66">
        <v>45519.0</v>
      </c>
      <c r="E232" s="67" t="s">
        <v>55</v>
      </c>
      <c r="F232" s="69">
        <v>2000.0</v>
      </c>
      <c r="G232" s="70" t="s">
        <v>33</v>
      </c>
      <c r="H232" s="70" t="s">
        <v>28</v>
      </c>
      <c r="I232" s="71"/>
    </row>
    <row r="233" ht="17.25" customHeight="1">
      <c r="A233" s="61"/>
      <c r="B233" s="63" t="b">
        <v>0</v>
      </c>
      <c r="C233" s="64">
        <v>226.0</v>
      </c>
      <c r="D233" s="66">
        <v>45519.0</v>
      </c>
      <c r="E233" s="67" t="s">
        <v>55</v>
      </c>
      <c r="F233" s="69">
        <v>32000.0</v>
      </c>
      <c r="G233" s="70" t="s">
        <v>203</v>
      </c>
      <c r="H233" s="70" t="s">
        <v>28</v>
      </c>
      <c r="I233" s="71"/>
    </row>
    <row r="234" ht="17.25" customHeight="1">
      <c r="A234" s="61"/>
      <c r="B234" s="63" t="b">
        <v>0</v>
      </c>
      <c r="C234" s="64">
        <v>227.0</v>
      </c>
      <c r="D234" s="66">
        <v>45519.0</v>
      </c>
      <c r="E234" s="67" t="s">
        <v>55</v>
      </c>
      <c r="F234" s="69">
        <v>45000.0</v>
      </c>
      <c r="G234" s="70" t="s">
        <v>204</v>
      </c>
      <c r="H234" s="70" t="s">
        <v>28</v>
      </c>
      <c r="I234" s="71"/>
    </row>
    <row r="235" ht="17.25" customHeight="1">
      <c r="A235" s="61"/>
      <c r="B235" s="63" t="b">
        <v>0</v>
      </c>
      <c r="C235" s="64">
        <v>228.0</v>
      </c>
      <c r="D235" s="66">
        <v>45519.0</v>
      </c>
      <c r="E235" s="67" t="s">
        <v>55</v>
      </c>
      <c r="F235" s="69">
        <v>52000.0</v>
      </c>
      <c r="G235" s="70" t="s">
        <v>200</v>
      </c>
      <c r="H235" s="70" t="s">
        <v>28</v>
      </c>
      <c r="I235" s="71"/>
    </row>
    <row r="236" ht="17.25" customHeight="1">
      <c r="A236" s="61"/>
      <c r="B236" s="63" t="b">
        <v>0</v>
      </c>
      <c r="C236" s="64">
        <v>229.0</v>
      </c>
      <c r="D236" s="66">
        <v>45519.0</v>
      </c>
      <c r="E236" s="67" t="s">
        <v>89</v>
      </c>
      <c r="F236" s="69">
        <v>220000.0</v>
      </c>
      <c r="G236" s="70" t="s">
        <v>205</v>
      </c>
      <c r="H236" s="70" t="s">
        <v>28</v>
      </c>
      <c r="I236" s="71"/>
    </row>
    <row r="237" ht="17.25" customHeight="1">
      <c r="A237" s="61"/>
      <c r="B237" s="63" t="b">
        <v>0</v>
      </c>
      <c r="C237" s="64">
        <v>230.0</v>
      </c>
      <c r="D237" s="66">
        <v>45519.0</v>
      </c>
      <c r="E237" s="67" t="s">
        <v>89</v>
      </c>
      <c r="F237" s="69">
        <v>100000.0</v>
      </c>
      <c r="G237" s="70" t="s">
        <v>206</v>
      </c>
      <c r="H237" s="70" t="s">
        <v>28</v>
      </c>
      <c r="I237" s="71"/>
    </row>
    <row r="238" ht="17.25" customHeight="1">
      <c r="A238" s="61"/>
      <c r="B238" s="63" t="b">
        <v>0</v>
      </c>
      <c r="C238" s="64">
        <v>231.0</v>
      </c>
      <c r="D238" s="66">
        <v>45521.0</v>
      </c>
      <c r="E238" s="67" t="s">
        <v>207</v>
      </c>
      <c r="F238" s="69">
        <v>304000.0</v>
      </c>
      <c r="G238" s="70" t="s">
        <v>208</v>
      </c>
      <c r="H238" s="70" t="s">
        <v>28</v>
      </c>
      <c r="I238" s="71"/>
    </row>
    <row r="239" ht="17.25" customHeight="1">
      <c r="A239" s="61"/>
      <c r="B239" s="63" t="b">
        <v>0</v>
      </c>
      <c r="C239" s="64">
        <v>232.0</v>
      </c>
      <c r="D239" s="66">
        <v>45522.0</v>
      </c>
      <c r="E239" s="67" t="s">
        <v>35</v>
      </c>
      <c r="F239" s="69">
        <v>201904.0</v>
      </c>
      <c r="G239" s="70" t="s">
        <v>36</v>
      </c>
      <c r="H239" s="70" t="s">
        <v>28</v>
      </c>
      <c r="I239" s="71"/>
    </row>
    <row r="240" ht="17.25" customHeight="1">
      <c r="A240" s="61"/>
      <c r="B240" s="63" t="b">
        <v>0</v>
      </c>
      <c r="C240" s="64">
        <v>233.0</v>
      </c>
      <c r="D240" s="66">
        <v>45523.0</v>
      </c>
      <c r="E240" s="67" t="s">
        <v>55</v>
      </c>
      <c r="F240" s="69">
        <v>13000.0</v>
      </c>
      <c r="G240" s="70" t="s">
        <v>103</v>
      </c>
      <c r="H240" s="70" t="s">
        <v>28</v>
      </c>
      <c r="I240" s="71"/>
    </row>
    <row r="241" ht="17.25" customHeight="1">
      <c r="A241" s="61"/>
      <c r="B241" s="63" t="b">
        <v>0</v>
      </c>
      <c r="C241" s="64">
        <v>234.0</v>
      </c>
      <c r="D241" s="66">
        <v>45523.0</v>
      </c>
      <c r="E241" s="67" t="s">
        <v>55</v>
      </c>
      <c r="F241" s="69">
        <v>3000.0</v>
      </c>
      <c r="G241" s="70" t="s">
        <v>33</v>
      </c>
      <c r="H241" s="70" t="s">
        <v>28</v>
      </c>
      <c r="I241" s="71"/>
    </row>
    <row r="242" ht="17.25" customHeight="1">
      <c r="A242" s="61"/>
      <c r="B242" s="63" t="b">
        <v>0</v>
      </c>
      <c r="C242" s="64">
        <v>235.0</v>
      </c>
      <c r="D242" s="66">
        <v>45523.0</v>
      </c>
      <c r="E242" s="67" t="s">
        <v>55</v>
      </c>
      <c r="F242" s="69">
        <v>33000.0</v>
      </c>
      <c r="G242" s="70" t="s">
        <v>209</v>
      </c>
      <c r="H242" s="70" t="s">
        <v>28</v>
      </c>
      <c r="I242" s="71"/>
    </row>
    <row r="243" ht="17.25" customHeight="1">
      <c r="A243" s="61"/>
      <c r="B243" s="63" t="b">
        <v>0</v>
      </c>
      <c r="C243" s="64">
        <v>236.0</v>
      </c>
      <c r="D243" s="66">
        <v>45524.0</v>
      </c>
      <c r="E243" s="67" t="s">
        <v>55</v>
      </c>
      <c r="F243" s="69">
        <v>10000.0</v>
      </c>
      <c r="G243" s="70" t="s">
        <v>210</v>
      </c>
      <c r="H243" s="70" t="s">
        <v>28</v>
      </c>
      <c r="I243" s="71"/>
    </row>
    <row r="244" ht="17.25" customHeight="1">
      <c r="A244" s="61"/>
      <c r="B244" s="63" t="b">
        <v>0</v>
      </c>
      <c r="C244" s="64">
        <v>237.0</v>
      </c>
      <c r="D244" s="66">
        <v>45524.0</v>
      </c>
      <c r="E244" s="67" t="s">
        <v>55</v>
      </c>
      <c r="F244" s="69">
        <v>26000.0</v>
      </c>
      <c r="G244" s="70" t="s">
        <v>212</v>
      </c>
      <c r="H244" s="70" t="s">
        <v>28</v>
      </c>
      <c r="I244" s="71"/>
    </row>
    <row r="245" ht="17.25" customHeight="1">
      <c r="A245" s="61"/>
      <c r="B245" s="63" t="b">
        <v>0</v>
      </c>
      <c r="C245" s="64">
        <v>238.0</v>
      </c>
      <c r="D245" s="66">
        <v>45524.0</v>
      </c>
      <c r="E245" s="67" t="s">
        <v>55</v>
      </c>
      <c r="F245" s="69">
        <v>26000.0</v>
      </c>
      <c r="G245" s="70" t="s">
        <v>213</v>
      </c>
      <c r="H245" s="70" t="s">
        <v>28</v>
      </c>
      <c r="I245" s="71"/>
    </row>
    <row r="246" ht="17.25" customHeight="1">
      <c r="A246" s="61"/>
      <c r="B246" s="63" t="b">
        <v>0</v>
      </c>
      <c r="C246" s="64">
        <v>239.0</v>
      </c>
      <c r="D246" s="66">
        <v>45524.0</v>
      </c>
      <c r="E246" s="67" t="s">
        <v>55</v>
      </c>
      <c r="F246" s="69">
        <v>2000.0</v>
      </c>
      <c r="G246" s="70" t="s">
        <v>214</v>
      </c>
      <c r="H246" s="70" t="s">
        <v>28</v>
      </c>
      <c r="I246" s="71"/>
    </row>
    <row r="247" ht="17.25" customHeight="1">
      <c r="A247" s="61"/>
      <c r="B247" s="63" t="b">
        <v>0</v>
      </c>
      <c r="C247" s="64">
        <v>240.0</v>
      </c>
      <c r="D247" s="66">
        <v>45524.0</v>
      </c>
      <c r="E247" s="67" t="s">
        <v>55</v>
      </c>
      <c r="F247" s="69">
        <v>15000.0</v>
      </c>
      <c r="G247" s="70" t="s">
        <v>215</v>
      </c>
      <c r="H247" s="70" t="s">
        <v>28</v>
      </c>
      <c r="I247" s="71"/>
    </row>
    <row r="248" ht="17.25" customHeight="1">
      <c r="A248" s="61"/>
      <c r="B248" s="63" t="b">
        <v>0</v>
      </c>
      <c r="C248" s="64">
        <v>241.0</v>
      </c>
      <c r="D248" s="66">
        <v>45525.0</v>
      </c>
      <c r="E248" s="67" t="s">
        <v>55</v>
      </c>
      <c r="F248" s="69">
        <v>2500.0</v>
      </c>
      <c r="G248" s="70" t="s">
        <v>214</v>
      </c>
      <c r="H248" s="70" t="s">
        <v>28</v>
      </c>
      <c r="I248" s="71"/>
    </row>
    <row r="249" ht="17.25" customHeight="1">
      <c r="A249" s="61"/>
      <c r="B249" s="63" t="b">
        <v>0</v>
      </c>
      <c r="C249" s="64">
        <v>242.0</v>
      </c>
      <c r="D249" s="66">
        <v>45525.0</v>
      </c>
      <c r="E249" s="67" t="s">
        <v>55</v>
      </c>
      <c r="F249" s="69">
        <v>16500.0</v>
      </c>
      <c r="G249" s="70" t="s">
        <v>45</v>
      </c>
      <c r="H249" s="70" t="s">
        <v>28</v>
      </c>
      <c r="I249" s="71"/>
    </row>
    <row r="250" ht="17.25" customHeight="1">
      <c r="A250" s="61"/>
      <c r="B250" s="63" t="b">
        <v>0</v>
      </c>
      <c r="C250" s="64">
        <v>243.0</v>
      </c>
      <c r="D250" s="66">
        <v>45526.0</v>
      </c>
      <c r="E250" s="67" t="s">
        <v>55</v>
      </c>
      <c r="F250" s="69">
        <v>66000.0</v>
      </c>
      <c r="G250" s="70" t="s">
        <v>217</v>
      </c>
      <c r="H250" s="70" t="s">
        <v>28</v>
      </c>
      <c r="I250" s="71"/>
    </row>
    <row r="251" ht="17.25" customHeight="1">
      <c r="A251" s="61"/>
      <c r="B251" s="63" t="b">
        <v>0</v>
      </c>
      <c r="C251" s="64">
        <v>244.0</v>
      </c>
      <c r="D251" s="66">
        <v>45526.0</v>
      </c>
      <c r="E251" s="67" t="s">
        <v>55</v>
      </c>
      <c r="F251" s="69">
        <v>2500.0</v>
      </c>
      <c r="G251" s="70" t="s">
        <v>214</v>
      </c>
      <c r="H251" s="70" t="s">
        <v>28</v>
      </c>
      <c r="I251" s="71"/>
    </row>
    <row r="252" ht="17.25" customHeight="1">
      <c r="A252" s="61"/>
      <c r="B252" s="63" t="b">
        <v>0</v>
      </c>
      <c r="C252" s="64">
        <v>245.0</v>
      </c>
      <c r="D252" s="66">
        <v>45528.0</v>
      </c>
      <c r="E252" s="67" t="s">
        <v>55</v>
      </c>
      <c r="F252" s="69">
        <v>5000.0</v>
      </c>
      <c r="G252" s="70" t="s">
        <v>214</v>
      </c>
      <c r="H252" s="70" t="s">
        <v>28</v>
      </c>
      <c r="I252" s="71"/>
    </row>
    <row r="253" ht="17.25" customHeight="1">
      <c r="A253" s="61"/>
      <c r="B253" s="63" t="b">
        <v>0</v>
      </c>
      <c r="C253" s="64">
        <v>246.0</v>
      </c>
      <c r="D253" s="66">
        <v>45528.0</v>
      </c>
      <c r="E253" s="67" t="s">
        <v>55</v>
      </c>
      <c r="F253" s="69">
        <v>1000.0</v>
      </c>
      <c r="G253" s="70" t="s">
        <v>40</v>
      </c>
      <c r="H253" s="70" t="s">
        <v>28</v>
      </c>
      <c r="I253" s="71"/>
    </row>
    <row r="254" ht="17.25" customHeight="1">
      <c r="A254" s="61"/>
      <c r="B254" s="63" t="b">
        <v>0</v>
      </c>
      <c r="C254" s="64">
        <v>247.0</v>
      </c>
      <c r="D254" s="66">
        <v>45528.0</v>
      </c>
      <c r="E254" s="67" t="s">
        <v>64</v>
      </c>
      <c r="F254" s="69">
        <v>59000.0</v>
      </c>
      <c r="G254" s="70" t="s">
        <v>128</v>
      </c>
      <c r="H254" s="70" t="s">
        <v>28</v>
      </c>
      <c r="I254" s="71"/>
    </row>
    <row r="255" ht="17.25" customHeight="1">
      <c r="A255" s="61"/>
      <c r="B255" s="63" t="b">
        <v>0</v>
      </c>
      <c r="C255" s="64">
        <v>248.0</v>
      </c>
      <c r="D255" s="66">
        <v>45528.0</v>
      </c>
      <c r="E255" s="67" t="s">
        <v>25</v>
      </c>
      <c r="F255" s="69">
        <v>11000.0</v>
      </c>
      <c r="G255" s="70" t="s">
        <v>141</v>
      </c>
      <c r="H255" s="70" t="s">
        <v>28</v>
      </c>
      <c r="I255" s="71"/>
    </row>
    <row r="256" ht="17.25" customHeight="1">
      <c r="A256" s="61"/>
      <c r="B256" s="63" t="b">
        <v>0</v>
      </c>
      <c r="C256" s="64">
        <v>249.0</v>
      </c>
      <c r="D256" s="66">
        <v>45529.0</v>
      </c>
      <c r="E256" s="67" t="s">
        <v>55</v>
      </c>
      <c r="F256" s="69">
        <v>2500.0</v>
      </c>
      <c r="G256" s="70" t="s">
        <v>219</v>
      </c>
      <c r="H256" s="70" t="s">
        <v>28</v>
      </c>
      <c r="I256" s="71"/>
    </row>
    <row r="257" ht="17.25" customHeight="1">
      <c r="A257" s="61"/>
      <c r="B257" s="63" t="b">
        <v>0</v>
      </c>
      <c r="C257" s="64">
        <v>250.0</v>
      </c>
      <c r="D257" s="66">
        <v>45529.0</v>
      </c>
      <c r="E257" s="67" t="s">
        <v>35</v>
      </c>
      <c r="F257" s="69">
        <v>201291.0</v>
      </c>
      <c r="G257" s="70" t="s">
        <v>220</v>
      </c>
      <c r="H257" s="70" t="s">
        <v>28</v>
      </c>
      <c r="I257" s="71"/>
    </row>
    <row r="258" ht="17.25" customHeight="1">
      <c r="A258" s="61"/>
      <c r="B258" s="63" t="b">
        <v>0</v>
      </c>
      <c r="C258" s="64">
        <v>251.0</v>
      </c>
      <c r="D258" s="66">
        <v>45529.0</v>
      </c>
      <c r="E258" s="67" t="s">
        <v>68</v>
      </c>
      <c r="F258" s="69">
        <v>45000.0</v>
      </c>
      <c r="G258" s="70" t="s">
        <v>221</v>
      </c>
      <c r="H258" s="70" t="s">
        <v>28</v>
      </c>
      <c r="I258" s="71"/>
    </row>
    <row r="259" ht="17.25" customHeight="1">
      <c r="A259" s="61"/>
      <c r="B259" s="63" t="b">
        <v>0</v>
      </c>
      <c r="C259" s="64">
        <v>252.0</v>
      </c>
      <c r="D259" s="66">
        <v>45530.0</v>
      </c>
      <c r="E259" s="67" t="s">
        <v>89</v>
      </c>
      <c r="F259" s="69">
        <v>40000.0</v>
      </c>
      <c r="G259" s="70" t="s">
        <v>222</v>
      </c>
      <c r="H259" s="70" t="s">
        <v>28</v>
      </c>
      <c r="I259" s="71"/>
    </row>
    <row r="260" ht="17.25" customHeight="1">
      <c r="A260" s="61"/>
      <c r="B260" s="63" t="b">
        <v>0</v>
      </c>
      <c r="C260" s="64">
        <v>253.0</v>
      </c>
      <c r="D260" s="66">
        <v>45531.0</v>
      </c>
      <c r="E260" s="67" t="s">
        <v>55</v>
      </c>
      <c r="F260" s="69">
        <v>2500.0</v>
      </c>
      <c r="G260" s="70" t="s">
        <v>219</v>
      </c>
      <c r="H260" s="70" t="s">
        <v>28</v>
      </c>
      <c r="I260" s="71"/>
    </row>
    <row r="261" ht="17.25" customHeight="1">
      <c r="A261" s="61"/>
      <c r="B261" s="63" t="b">
        <v>0</v>
      </c>
      <c r="C261" s="64">
        <v>254.0</v>
      </c>
      <c r="D261" s="66">
        <v>45531.0</v>
      </c>
      <c r="E261" s="67" t="s">
        <v>25</v>
      </c>
      <c r="F261" s="69">
        <v>16500.0</v>
      </c>
      <c r="G261" s="70" t="s">
        <v>45</v>
      </c>
      <c r="H261" s="70" t="s">
        <v>28</v>
      </c>
      <c r="I261" s="71"/>
    </row>
    <row r="262" ht="17.25" customHeight="1">
      <c r="A262" s="61"/>
      <c r="B262" s="63" t="b">
        <v>0</v>
      </c>
      <c r="C262" s="64">
        <v>255.0</v>
      </c>
      <c r="D262" s="66">
        <v>45531.0</v>
      </c>
      <c r="E262" s="67" t="s">
        <v>179</v>
      </c>
      <c r="F262" s="69">
        <v>1.17675E7</v>
      </c>
      <c r="G262" s="70"/>
      <c r="H262" s="70" t="s">
        <v>28</v>
      </c>
      <c r="I262" s="71"/>
    </row>
    <row r="263" ht="17.25" customHeight="1">
      <c r="A263" s="61"/>
      <c r="B263" s="63" t="b">
        <v>0</v>
      </c>
      <c r="C263" s="64">
        <v>256.0</v>
      </c>
      <c r="D263" s="66">
        <v>45532.0</v>
      </c>
      <c r="E263" s="67" t="s">
        <v>25</v>
      </c>
      <c r="F263" s="69">
        <v>12000.0</v>
      </c>
      <c r="G263" s="70" t="s">
        <v>176</v>
      </c>
      <c r="H263" s="70" t="s">
        <v>28</v>
      </c>
      <c r="I263" s="71"/>
    </row>
    <row r="264" ht="17.25" customHeight="1">
      <c r="A264" s="61"/>
      <c r="B264" s="63" t="b">
        <v>0</v>
      </c>
      <c r="C264" s="64">
        <v>257.0</v>
      </c>
      <c r="D264" s="66">
        <v>45532.0</v>
      </c>
      <c r="E264" s="67" t="s">
        <v>55</v>
      </c>
      <c r="F264" s="69">
        <v>22000.0</v>
      </c>
      <c r="G264" s="70" t="s">
        <v>60</v>
      </c>
      <c r="H264" s="70" t="s">
        <v>28</v>
      </c>
      <c r="I264" s="71"/>
    </row>
    <row r="265" ht="17.25" customHeight="1">
      <c r="A265" s="61"/>
      <c r="B265" s="63" t="b">
        <v>0</v>
      </c>
      <c r="C265" s="64">
        <v>258.0</v>
      </c>
      <c r="D265" s="66">
        <v>45533.0</v>
      </c>
      <c r="E265" s="67" t="s">
        <v>55</v>
      </c>
      <c r="F265" s="69">
        <v>33000.0</v>
      </c>
      <c r="G265" s="70" t="s">
        <v>224</v>
      </c>
      <c r="H265" s="70" t="s">
        <v>28</v>
      </c>
      <c r="I265" s="71"/>
    </row>
    <row r="266" ht="17.25" customHeight="1">
      <c r="A266" s="61"/>
      <c r="B266" s="63" t="b">
        <v>0</v>
      </c>
      <c r="C266" s="64">
        <v>259.0</v>
      </c>
      <c r="D266" s="66">
        <v>45533.0</v>
      </c>
      <c r="E266" s="67" t="s">
        <v>55</v>
      </c>
      <c r="F266" s="69">
        <v>2500.0</v>
      </c>
      <c r="G266" s="70" t="s">
        <v>219</v>
      </c>
      <c r="H266" s="70" t="s">
        <v>28</v>
      </c>
      <c r="I266" s="71"/>
    </row>
    <row r="267" ht="17.25" customHeight="1">
      <c r="A267" s="61"/>
      <c r="B267" s="63" t="b">
        <v>0</v>
      </c>
      <c r="C267" s="64">
        <v>260.0</v>
      </c>
      <c r="D267" s="66">
        <v>45533.0</v>
      </c>
      <c r="E267" s="67" t="s">
        <v>55</v>
      </c>
      <c r="F267" s="69">
        <v>13000.0</v>
      </c>
      <c r="G267" s="70" t="s">
        <v>103</v>
      </c>
      <c r="H267" s="70" t="s">
        <v>28</v>
      </c>
      <c r="I267" s="71"/>
    </row>
    <row r="268" ht="17.25" customHeight="1">
      <c r="A268" s="61"/>
      <c r="B268" s="63" t="b">
        <v>0</v>
      </c>
      <c r="C268" s="64">
        <v>261.0</v>
      </c>
      <c r="D268" s="66">
        <v>45533.0</v>
      </c>
      <c r="E268" s="67" t="s">
        <v>55</v>
      </c>
      <c r="F268" s="69">
        <v>2000.0</v>
      </c>
      <c r="G268" s="70" t="s">
        <v>33</v>
      </c>
      <c r="H268" s="70" t="s">
        <v>28</v>
      </c>
      <c r="I268" s="71"/>
    </row>
    <row r="269" ht="17.25" customHeight="1">
      <c r="A269" s="61"/>
      <c r="B269" s="63" t="b">
        <v>0</v>
      </c>
      <c r="C269" s="64">
        <v>262.0</v>
      </c>
      <c r="D269" s="66">
        <v>45534.0</v>
      </c>
      <c r="E269" s="67" t="s">
        <v>55</v>
      </c>
      <c r="F269" s="69">
        <v>33000.0</v>
      </c>
      <c r="G269" s="70" t="s">
        <v>57</v>
      </c>
      <c r="H269" s="70" t="s">
        <v>28</v>
      </c>
      <c r="I269" s="71"/>
    </row>
    <row r="270" ht="17.25" customHeight="1">
      <c r="A270" s="61"/>
      <c r="B270" s="63" t="b">
        <v>0</v>
      </c>
      <c r="C270" s="64">
        <v>263.0</v>
      </c>
      <c r="D270" s="66">
        <v>45535.0</v>
      </c>
      <c r="E270" s="67" t="s">
        <v>64</v>
      </c>
      <c r="F270" s="69">
        <v>12500.0</v>
      </c>
      <c r="G270" s="70" t="s">
        <v>226</v>
      </c>
      <c r="H270" s="70" t="s">
        <v>28</v>
      </c>
      <c r="I270" s="71"/>
    </row>
    <row r="271" ht="17.25" customHeight="1">
      <c r="A271" s="61"/>
      <c r="B271" s="63" t="b">
        <v>0</v>
      </c>
      <c r="C271" s="64">
        <v>264.0</v>
      </c>
      <c r="D271" s="66">
        <v>45535.0</v>
      </c>
      <c r="E271" s="67" t="s">
        <v>89</v>
      </c>
      <c r="F271" s="69">
        <v>10000.0</v>
      </c>
      <c r="G271" s="70" t="s">
        <v>228</v>
      </c>
      <c r="H271" s="70" t="s">
        <v>28</v>
      </c>
      <c r="I271" s="71"/>
    </row>
    <row r="272" ht="17.25" customHeight="1">
      <c r="A272" s="61"/>
      <c r="B272" s="63" t="b">
        <v>0</v>
      </c>
      <c r="C272" s="64">
        <v>265.0</v>
      </c>
      <c r="D272" s="66">
        <v>45535.0</v>
      </c>
      <c r="E272" s="67" t="s">
        <v>89</v>
      </c>
      <c r="F272" s="69">
        <v>8000.0</v>
      </c>
      <c r="G272" s="70" t="s">
        <v>229</v>
      </c>
      <c r="H272" s="70" t="s">
        <v>28</v>
      </c>
      <c r="I272" s="71"/>
    </row>
    <row r="273" ht="17.25" customHeight="1">
      <c r="A273" s="61"/>
      <c r="B273" s="63" t="b">
        <v>0</v>
      </c>
      <c r="C273" s="64">
        <v>266.0</v>
      </c>
      <c r="D273" s="66">
        <v>45535.0</v>
      </c>
      <c r="E273" s="67" t="s">
        <v>89</v>
      </c>
      <c r="F273" s="69">
        <v>29500.0</v>
      </c>
      <c r="G273" s="70" t="s">
        <v>230</v>
      </c>
      <c r="H273" s="70" t="s">
        <v>28</v>
      </c>
      <c r="I273" s="71"/>
    </row>
    <row r="274" ht="17.25" customHeight="1">
      <c r="A274" s="61"/>
      <c r="B274" s="63" t="b">
        <v>0</v>
      </c>
      <c r="C274" s="64">
        <v>267.0</v>
      </c>
      <c r="D274" s="66">
        <v>45535.0</v>
      </c>
      <c r="E274" s="67" t="s">
        <v>55</v>
      </c>
      <c r="F274" s="69">
        <v>2500.0</v>
      </c>
      <c r="G274" s="70" t="s">
        <v>33</v>
      </c>
      <c r="H274" s="70" t="s">
        <v>28</v>
      </c>
      <c r="I274" s="71"/>
    </row>
    <row r="275" ht="17.25" customHeight="1">
      <c r="A275" s="61"/>
      <c r="B275" s="63" t="b">
        <v>0</v>
      </c>
      <c r="C275" s="64">
        <v>268.0</v>
      </c>
      <c r="D275" s="66">
        <v>45536.0</v>
      </c>
      <c r="E275" s="67" t="s">
        <v>35</v>
      </c>
      <c r="F275" s="69">
        <v>201500.0</v>
      </c>
      <c r="G275" s="70" t="s">
        <v>36</v>
      </c>
      <c r="H275" s="70" t="s">
        <v>28</v>
      </c>
      <c r="I275" s="71"/>
    </row>
    <row r="276" ht="17.25" customHeight="1">
      <c r="A276" s="61"/>
      <c r="B276" s="63" t="b">
        <v>0</v>
      </c>
      <c r="C276" s="64">
        <v>269.0</v>
      </c>
      <c r="D276" s="66">
        <v>45536.0</v>
      </c>
      <c r="E276" s="67" t="s">
        <v>231</v>
      </c>
      <c r="F276" s="69">
        <v>207500.0</v>
      </c>
      <c r="G276" s="70" t="s">
        <v>222</v>
      </c>
      <c r="H276" s="70" t="s">
        <v>28</v>
      </c>
      <c r="I276" s="71"/>
    </row>
    <row r="277" ht="17.25" customHeight="1">
      <c r="A277" s="61"/>
      <c r="B277" s="63" t="b">
        <v>0</v>
      </c>
      <c r="C277" s="64">
        <v>270.0</v>
      </c>
      <c r="D277" s="66">
        <v>45537.0</v>
      </c>
      <c r="E277" s="67" t="s">
        <v>55</v>
      </c>
      <c r="F277" s="69">
        <v>33000.0</v>
      </c>
      <c r="G277" s="70" t="s">
        <v>100</v>
      </c>
      <c r="H277" s="70" t="s">
        <v>28</v>
      </c>
      <c r="I277" s="71"/>
    </row>
    <row r="278" ht="17.25" customHeight="1">
      <c r="A278" s="61"/>
      <c r="B278" s="63" t="b">
        <v>0</v>
      </c>
      <c r="C278" s="64">
        <v>271.0</v>
      </c>
      <c r="D278" s="66">
        <v>45537.0</v>
      </c>
      <c r="E278" s="67" t="s">
        <v>55</v>
      </c>
      <c r="F278" s="69">
        <v>2500.0</v>
      </c>
      <c r="G278" s="70" t="s">
        <v>33</v>
      </c>
      <c r="H278" s="70" t="s">
        <v>28</v>
      </c>
      <c r="I278" s="71"/>
    </row>
    <row r="279" ht="17.25" customHeight="1">
      <c r="A279" s="61"/>
      <c r="B279" s="63" t="b">
        <v>0</v>
      </c>
      <c r="C279" s="64">
        <v>272.0</v>
      </c>
      <c r="D279" s="66">
        <v>45538.0</v>
      </c>
      <c r="E279" s="67" t="s">
        <v>55</v>
      </c>
      <c r="F279" s="69">
        <v>16500.0</v>
      </c>
      <c r="G279" s="70" t="s">
        <v>45</v>
      </c>
      <c r="H279" s="70" t="s">
        <v>28</v>
      </c>
      <c r="I279" s="71"/>
    </row>
    <row r="280" ht="17.25" customHeight="1">
      <c r="A280" s="61"/>
      <c r="B280" s="63" t="b">
        <v>0</v>
      </c>
      <c r="C280" s="64">
        <v>273.0</v>
      </c>
      <c r="D280" s="66">
        <v>45538.0</v>
      </c>
      <c r="E280" s="67" t="s">
        <v>55</v>
      </c>
      <c r="F280" s="69">
        <v>2500.0</v>
      </c>
      <c r="G280" s="70" t="s">
        <v>33</v>
      </c>
      <c r="H280" s="70" t="s">
        <v>28</v>
      </c>
      <c r="I280" s="71"/>
    </row>
    <row r="281" ht="17.25" customHeight="1">
      <c r="A281" s="61"/>
      <c r="B281" s="63" t="b">
        <v>0</v>
      </c>
      <c r="C281" s="64">
        <v>274.0</v>
      </c>
      <c r="D281" s="66">
        <v>45539.0</v>
      </c>
      <c r="E281" s="67" t="s">
        <v>55</v>
      </c>
      <c r="F281" s="69">
        <v>2500.0</v>
      </c>
      <c r="G281" s="70" t="s">
        <v>33</v>
      </c>
      <c r="H281" s="70" t="s">
        <v>28</v>
      </c>
      <c r="I281" s="71"/>
    </row>
    <row r="282" ht="17.25" customHeight="1">
      <c r="A282" s="61"/>
      <c r="B282" s="63" t="b">
        <v>0</v>
      </c>
      <c r="C282" s="64">
        <v>275.0</v>
      </c>
      <c r="D282" s="66">
        <v>45540.0</v>
      </c>
      <c r="E282" s="67" t="s">
        <v>55</v>
      </c>
      <c r="F282" s="69">
        <v>2000.0</v>
      </c>
      <c r="G282" s="70" t="s">
        <v>33</v>
      </c>
      <c r="H282" s="70" t="s">
        <v>28</v>
      </c>
      <c r="I282" s="71"/>
    </row>
    <row r="283" ht="17.25" customHeight="1">
      <c r="A283" s="61"/>
      <c r="B283" s="63" t="b">
        <v>0</v>
      </c>
      <c r="C283" s="64">
        <v>276.0</v>
      </c>
      <c r="D283" s="66">
        <v>45540.0</v>
      </c>
      <c r="E283" s="67" t="s">
        <v>55</v>
      </c>
      <c r="F283" s="69">
        <v>33000.0</v>
      </c>
      <c r="G283" s="70" t="s">
        <v>100</v>
      </c>
      <c r="H283" s="70" t="s">
        <v>28</v>
      </c>
      <c r="I283" s="71"/>
    </row>
    <row r="284" ht="17.25" customHeight="1">
      <c r="A284" s="61"/>
      <c r="B284" s="63" t="b">
        <v>0</v>
      </c>
      <c r="C284" s="64">
        <v>277.0</v>
      </c>
      <c r="D284" s="66">
        <v>45542.0</v>
      </c>
      <c r="E284" s="67" t="s">
        <v>35</v>
      </c>
      <c r="F284" s="69">
        <v>201923.0</v>
      </c>
      <c r="G284" s="70" t="s">
        <v>36</v>
      </c>
      <c r="H284" s="70" t="s">
        <v>28</v>
      </c>
      <c r="I284" s="71"/>
    </row>
    <row r="285" ht="17.25" customHeight="1">
      <c r="A285" s="61"/>
      <c r="B285" s="63" t="b">
        <v>0</v>
      </c>
      <c r="C285" s="64">
        <v>278.0</v>
      </c>
      <c r="D285" s="66">
        <v>45542.0</v>
      </c>
      <c r="E285" s="67" t="s">
        <v>55</v>
      </c>
      <c r="F285" s="69">
        <v>2500.0</v>
      </c>
      <c r="G285" s="70" t="s">
        <v>33</v>
      </c>
      <c r="H285" s="70" t="s">
        <v>28</v>
      </c>
      <c r="I285" s="71"/>
    </row>
    <row r="286" ht="17.25" customHeight="1">
      <c r="A286" s="61"/>
      <c r="B286" s="63" t="b">
        <v>0</v>
      </c>
      <c r="C286" s="64">
        <v>279.0</v>
      </c>
      <c r="D286" s="66">
        <v>45542.0</v>
      </c>
      <c r="E286" s="67" t="s">
        <v>64</v>
      </c>
      <c r="F286" s="69">
        <v>90000.0</v>
      </c>
      <c r="G286" s="70" t="s">
        <v>233</v>
      </c>
      <c r="H286" s="70" t="s">
        <v>28</v>
      </c>
      <c r="I286" s="71"/>
    </row>
    <row r="287" ht="17.25" customHeight="1">
      <c r="A287" s="61"/>
      <c r="B287" s="63" t="b">
        <v>0</v>
      </c>
      <c r="C287" s="64">
        <v>280.0</v>
      </c>
      <c r="D287" s="66">
        <v>45542.0</v>
      </c>
      <c r="E287" s="67" t="s">
        <v>55</v>
      </c>
      <c r="F287" s="69">
        <v>2000.0</v>
      </c>
      <c r="G287" s="70" t="s">
        <v>234</v>
      </c>
      <c r="H287" s="70" t="s">
        <v>28</v>
      </c>
      <c r="I287" s="71"/>
    </row>
    <row r="288" ht="17.25" customHeight="1">
      <c r="A288" s="61"/>
      <c r="B288" s="63" t="b">
        <v>0</v>
      </c>
      <c r="C288" s="64">
        <v>281.0</v>
      </c>
      <c r="D288" s="66">
        <v>45542.0</v>
      </c>
      <c r="E288" s="67" t="s">
        <v>55</v>
      </c>
      <c r="F288" s="69">
        <v>61000.0</v>
      </c>
      <c r="G288" s="70" t="s">
        <v>166</v>
      </c>
      <c r="H288" s="70" t="s">
        <v>28</v>
      </c>
      <c r="I288" s="71"/>
    </row>
    <row r="289" ht="17.25" customHeight="1">
      <c r="A289" s="61"/>
      <c r="B289" s="63" t="b">
        <v>0</v>
      </c>
      <c r="C289" s="64">
        <v>282.0</v>
      </c>
      <c r="D289" s="66">
        <v>45543.0</v>
      </c>
      <c r="E289" s="67" t="s">
        <v>55</v>
      </c>
      <c r="F289" s="69">
        <v>2000.0</v>
      </c>
      <c r="G289" s="70" t="s">
        <v>33</v>
      </c>
      <c r="H289" s="70" t="s">
        <v>28</v>
      </c>
      <c r="I289" s="71"/>
    </row>
    <row r="290" ht="17.25" customHeight="1">
      <c r="A290" s="61"/>
      <c r="B290" s="63" t="b">
        <v>0</v>
      </c>
      <c r="C290" s="64">
        <v>283.0</v>
      </c>
      <c r="D290" s="66">
        <v>45543.0</v>
      </c>
      <c r="E290" s="67" t="s">
        <v>25</v>
      </c>
      <c r="F290" s="69">
        <v>16500.0</v>
      </c>
      <c r="G290" s="70" t="s">
        <v>45</v>
      </c>
      <c r="H290" s="70" t="s">
        <v>28</v>
      </c>
      <c r="I290" s="71"/>
    </row>
    <row r="291" ht="17.25" customHeight="1">
      <c r="A291" s="61"/>
      <c r="B291" s="63" t="b">
        <v>0</v>
      </c>
      <c r="C291" s="64">
        <v>284.0</v>
      </c>
      <c r="D291" s="66">
        <v>45544.0</v>
      </c>
      <c r="E291" s="67" t="s">
        <v>55</v>
      </c>
      <c r="F291" s="69">
        <v>18000.0</v>
      </c>
      <c r="G291" s="70" t="s">
        <v>235</v>
      </c>
      <c r="H291" s="70" t="s">
        <v>28</v>
      </c>
      <c r="I291" s="71"/>
    </row>
    <row r="292" ht="17.25" customHeight="1">
      <c r="A292" s="61"/>
      <c r="B292" s="63" t="b">
        <v>0</v>
      </c>
      <c r="C292" s="64">
        <v>285.0</v>
      </c>
      <c r="D292" s="66">
        <v>45544.0</v>
      </c>
      <c r="E292" s="67" t="s">
        <v>55</v>
      </c>
      <c r="F292" s="69">
        <v>33000.0</v>
      </c>
      <c r="G292" s="70" t="s">
        <v>100</v>
      </c>
      <c r="H292" s="70" t="s">
        <v>28</v>
      </c>
      <c r="I292" s="71"/>
    </row>
    <row r="293" ht="17.25" customHeight="1">
      <c r="A293" s="61"/>
      <c r="B293" s="63" t="b">
        <v>0</v>
      </c>
      <c r="C293" s="64">
        <v>286.0</v>
      </c>
      <c r="D293" s="66">
        <v>45544.0</v>
      </c>
      <c r="E293" s="67" t="s">
        <v>55</v>
      </c>
      <c r="F293" s="69">
        <v>2500.0</v>
      </c>
      <c r="G293" s="70" t="s">
        <v>33</v>
      </c>
      <c r="H293" s="70" t="s">
        <v>28</v>
      </c>
      <c r="I293" s="71"/>
    </row>
    <row r="294" ht="17.25" customHeight="1">
      <c r="A294" s="61"/>
      <c r="B294" s="63" t="b">
        <v>0</v>
      </c>
      <c r="C294" s="64">
        <v>287.0</v>
      </c>
      <c r="D294" s="66">
        <v>45545.0</v>
      </c>
      <c r="E294" s="67" t="s">
        <v>55</v>
      </c>
      <c r="F294" s="69">
        <v>2000.0</v>
      </c>
      <c r="G294" s="70" t="s">
        <v>33</v>
      </c>
      <c r="H294" s="70" t="s">
        <v>28</v>
      </c>
      <c r="I294" s="71"/>
    </row>
    <row r="295" ht="17.25" customHeight="1">
      <c r="A295" s="61"/>
      <c r="B295" s="63" t="b">
        <v>0</v>
      </c>
      <c r="C295" s="64">
        <v>288.0</v>
      </c>
      <c r="D295" s="66">
        <v>45547.0</v>
      </c>
      <c r="E295" s="67" t="s">
        <v>55</v>
      </c>
      <c r="F295" s="69">
        <v>2500.0</v>
      </c>
      <c r="G295" s="70" t="s">
        <v>33</v>
      </c>
      <c r="H295" s="70" t="s">
        <v>28</v>
      </c>
      <c r="I295" s="71"/>
    </row>
    <row r="296" ht="17.25" customHeight="1">
      <c r="A296" s="61"/>
      <c r="B296" s="63" t="b">
        <v>0</v>
      </c>
      <c r="C296" s="64">
        <v>289.0</v>
      </c>
      <c r="D296" s="66">
        <v>45547.0</v>
      </c>
      <c r="E296" s="67" t="s">
        <v>55</v>
      </c>
      <c r="F296" s="69">
        <v>19000.0</v>
      </c>
      <c r="G296" s="70" t="s">
        <v>236</v>
      </c>
      <c r="H296" s="70" t="s">
        <v>28</v>
      </c>
      <c r="I296" s="71"/>
    </row>
    <row r="297" ht="17.25" customHeight="1">
      <c r="A297" s="61"/>
      <c r="B297" s="63" t="b">
        <v>0</v>
      </c>
      <c r="C297" s="64">
        <v>290.0</v>
      </c>
      <c r="D297" s="66">
        <v>45547.0</v>
      </c>
      <c r="E297" s="67" t="s">
        <v>89</v>
      </c>
      <c r="F297" s="69">
        <v>71000.0</v>
      </c>
      <c r="G297" s="70" t="s">
        <v>237</v>
      </c>
      <c r="H297" s="70" t="s">
        <v>28</v>
      </c>
      <c r="I297" s="71"/>
    </row>
    <row r="298" ht="17.25" customHeight="1">
      <c r="A298" s="61"/>
      <c r="B298" s="63" t="b">
        <v>0</v>
      </c>
      <c r="C298" s="64">
        <v>291.0</v>
      </c>
      <c r="D298" s="66">
        <v>45547.0</v>
      </c>
      <c r="E298" s="67" t="s">
        <v>89</v>
      </c>
      <c r="F298" s="69">
        <v>5000.0</v>
      </c>
      <c r="G298" s="70" t="s">
        <v>228</v>
      </c>
      <c r="H298" s="70" t="s">
        <v>28</v>
      </c>
      <c r="I298" s="71"/>
    </row>
    <row r="299" ht="17.25" customHeight="1">
      <c r="A299" s="61"/>
      <c r="B299" s="63" t="b">
        <v>0</v>
      </c>
      <c r="C299" s="64">
        <v>292.0</v>
      </c>
      <c r="D299" s="66">
        <v>45547.0</v>
      </c>
      <c r="E299" s="67" t="s">
        <v>89</v>
      </c>
      <c r="F299" s="69">
        <v>20000.0</v>
      </c>
      <c r="G299" s="70" t="s">
        <v>238</v>
      </c>
      <c r="H299" s="70" t="s">
        <v>28</v>
      </c>
      <c r="I299" s="71"/>
    </row>
    <row r="300" ht="17.25" customHeight="1">
      <c r="A300" s="61"/>
      <c r="B300" s="63" t="b">
        <v>0</v>
      </c>
      <c r="C300" s="64">
        <v>293.0</v>
      </c>
      <c r="D300" s="66">
        <v>45547.0</v>
      </c>
      <c r="E300" s="67" t="s">
        <v>55</v>
      </c>
      <c r="F300" s="69">
        <v>36000.0</v>
      </c>
      <c r="G300" s="70" t="s">
        <v>224</v>
      </c>
      <c r="H300" s="70" t="s">
        <v>28</v>
      </c>
      <c r="I300" s="71"/>
    </row>
    <row r="301" ht="17.25" customHeight="1">
      <c r="A301" s="61"/>
      <c r="B301" s="63" t="b">
        <v>0</v>
      </c>
      <c r="C301" s="64">
        <v>294.0</v>
      </c>
      <c r="D301" s="66">
        <v>45547.0</v>
      </c>
      <c r="E301" s="67" t="s">
        <v>55</v>
      </c>
      <c r="F301" s="69">
        <v>20000.0</v>
      </c>
      <c r="G301" s="70" t="s">
        <v>239</v>
      </c>
      <c r="H301" s="70" t="s">
        <v>28</v>
      </c>
      <c r="I301" s="71"/>
    </row>
    <row r="302" ht="17.25" customHeight="1">
      <c r="A302" s="61"/>
      <c r="B302" s="63" t="b">
        <v>0</v>
      </c>
      <c r="C302" s="64">
        <v>295.0</v>
      </c>
      <c r="D302" s="66">
        <v>45547.0</v>
      </c>
      <c r="E302" s="67" t="s">
        <v>35</v>
      </c>
      <c r="F302" s="69">
        <v>201100.0</v>
      </c>
      <c r="G302" s="70" t="s">
        <v>220</v>
      </c>
      <c r="H302" s="70" t="s">
        <v>28</v>
      </c>
      <c r="I302" s="71"/>
    </row>
    <row r="303" ht="17.25" customHeight="1">
      <c r="A303" s="61"/>
      <c r="B303" s="63" t="b">
        <v>0</v>
      </c>
      <c r="C303" s="64">
        <v>296.0</v>
      </c>
      <c r="D303" s="66">
        <v>45547.0</v>
      </c>
      <c r="E303" s="67" t="s">
        <v>55</v>
      </c>
      <c r="F303" s="69">
        <v>3000.0</v>
      </c>
      <c r="G303" s="70" t="s">
        <v>33</v>
      </c>
      <c r="H303" s="70" t="s">
        <v>28</v>
      </c>
      <c r="I303" s="71"/>
    </row>
    <row r="304" ht="17.25" customHeight="1">
      <c r="A304" s="61"/>
      <c r="B304" s="63" t="b">
        <v>0</v>
      </c>
      <c r="C304" s="64">
        <v>297.0</v>
      </c>
      <c r="D304" s="66">
        <v>45547.0</v>
      </c>
      <c r="E304" s="67" t="s">
        <v>105</v>
      </c>
      <c r="F304" s="69">
        <v>15500.0</v>
      </c>
      <c r="G304" s="70" t="s">
        <v>106</v>
      </c>
      <c r="H304" s="70" t="s">
        <v>28</v>
      </c>
      <c r="I304" s="71"/>
    </row>
    <row r="305" ht="17.25" customHeight="1">
      <c r="A305" s="61"/>
      <c r="B305" s="63" t="b">
        <v>0</v>
      </c>
      <c r="C305" s="64">
        <v>298.0</v>
      </c>
      <c r="D305" s="66">
        <v>45549.0</v>
      </c>
      <c r="E305" s="67" t="s">
        <v>55</v>
      </c>
      <c r="F305" s="69">
        <v>2000.0</v>
      </c>
      <c r="G305" s="70" t="s">
        <v>33</v>
      </c>
      <c r="H305" s="70" t="s">
        <v>28</v>
      </c>
      <c r="I305" s="71"/>
    </row>
    <row r="306" ht="17.25" customHeight="1">
      <c r="A306" s="61"/>
      <c r="B306" s="63" t="b">
        <v>0</v>
      </c>
      <c r="C306" s="64">
        <v>299.0</v>
      </c>
      <c r="D306" s="66">
        <v>45550.0</v>
      </c>
      <c r="E306" s="67" t="s">
        <v>55</v>
      </c>
      <c r="F306" s="69">
        <v>2000.0</v>
      </c>
      <c r="G306" s="70" t="s">
        <v>33</v>
      </c>
      <c r="H306" s="70" t="s">
        <v>28</v>
      </c>
      <c r="I306" s="71"/>
    </row>
    <row r="307" ht="17.25" customHeight="1">
      <c r="A307" s="61"/>
      <c r="B307" s="63" t="b">
        <v>0</v>
      </c>
      <c r="C307" s="64">
        <v>300.0</v>
      </c>
      <c r="D307" s="66">
        <v>45552.0</v>
      </c>
      <c r="E307" s="67" t="s">
        <v>55</v>
      </c>
      <c r="F307" s="69">
        <v>2500.0</v>
      </c>
      <c r="G307" s="70" t="s">
        <v>33</v>
      </c>
      <c r="H307" s="70" t="s">
        <v>28</v>
      </c>
      <c r="I307" s="71"/>
    </row>
    <row r="308" ht="17.25" customHeight="1">
      <c r="A308" s="61"/>
      <c r="B308" s="63" t="b">
        <v>0</v>
      </c>
      <c r="C308" s="64">
        <v>301.0</v>
      </c>
      <c r="D308" s="66">
        <v>45552.0</v>
      </c>
      <c r="E308" s="67" t="s">
        <v>55</v>
      </c>
      <c r="F308" s="69">
        <v>33000.0</v>
      </c>
      <c r="G308" s="70" t="s">
        <v>100</v>
      </c>
      <c r="H308" s="70" t="s">
        <v>28</v>
      </c>
      <c r="I308" s="71"/>
    </row>
    <row r="309" ht="17.25" customHeight="1">
      <c r="A309" s="61"/>
      <c r="B309" s="63" t="b">
        <v>0</v>
      </c>
      <c r="C309" s="64">
        <v>302.0</v>
      </c>
      <c r="D309" s="66">
        <v>45552.0</v>
      </c>
      <c r="E309" s="67" t="s">
        <v>25</v>
      </c>
      <c r="F309" s="69">
        <v>15000.0</v>
      </c>
      <c r="G309" s="70" t="s">
        <v>176</v>
      </c>
      <c r="H309" s="70" t="s">
        <v>28</v>
      </c>
      <c r="I309" s="71"/>
    </row>
    <row r="310" ht="17.25" customHeight="1">
      <c r="A310" s="61"/>
      <c r="B310" s="63" t="b">
        <v>0</v>
      </c>
      <c r="C310" s="64">
        <v>303.0</v>
      </c>
      <c r="D310" s="66">
        <v>45552.0</v>
      </c>
      <c r="E310" s="67" t="s">
        <v>64</v>
      </c>
      <c r="F310" s="69">
        <v>7000.0</v>
      </c>
      <c r="G310" s="70" t="s">
        <v>241</v>
      </c>
      <c r="H310" s="70" t="s">
        <v>28</v>
      </c>
      <c r="I310" s="71"/>
    </row>
    <row r="311" ht="17.25" customHeight="1">
      <c r="A311" s="61"/>
      <c r="B311" s="63" t="b">
        <v>0</v>
      </c>
      <c r="C311" s="64">
        <v>304.0</v>
      </c>
      <c r="D311" s="66">
        <v>45552.0</v>
      </c>
      <c r="E311" s="67" t="s">
        <v>64</v>
      </c>
      <c r="F311" s="69">
        <v>12000.0</v>
      </c>
      <c r="G311" s="70" t="s">
        <v>242</v>
      </c>
      <c r="H311" s="70" t="s">
        <v>28</v>
      </c>
      <c r="I311" s="71"/>
    </row>
    <row r="312" ht="17.25" customHeight="1">
      <c r="A312" s="61"/>
      <c r="B312" s="63" t="b">
        <v>0</v>
      </c>
      <c r="C312" s="64">
        <v>305.0</v>
      </c>
      <c r="D312" s="66">
        <v>45552.0</v>
      </c>
      <c r="E312" s="67" t="s">
        <v>55</v>
      </c>
      <c r="F312" s="69">
        <v>2000.0</v>
      </c>
      <c r="G312" s="70" t="s">
        <v>33</v>
      </c>
      <c r="H312" s="70" t="s">
        <v>28</v>
      </c>
      <c r="I312" s="71"/>
    </row>
    <row r="313" ht="17.25" customHeight="1">
      <c r="A313" s="61"/>
      <c r="B313" s="63" t="b">
        <v>0</v>
      </c>
      <c r="C313" s="64">
        <v>306.0</v>
      </c>
      <c r="D313" s="66">
        <v>45553.0</v>
      </c>
      <c r="E313" s="67" t="s">
        <v>55</v>
      </c>
      <c r="F313" s="69">
        <v>31500.0</v>
      </c>
      <c r="G313" s="70" t="s">
        <v>244</v>
      </c>
      <c r="H313" s="70" t="s">
        <v>28</v>
      </c>
      <c r="I313" s="71"/>
    </row>
    <row r="314" ht="17.25" customHeight="1">
      <c r="A314" s="61"/>
      <c r="B314" s="63" t="b">
        <v>0</v>
      </c>
      <c r="C314" s="64">
        <v>307.0</v>
      </c>
      <c r="D314" s="66">
        <v>45554.0</v>
      </c>
      <c r="E314" s="67" t="s">
        <v>55</v>
      </c>
      <c r="F314" s="69">
        <v>2000.0</v>
      </c>
      <c r="G314" s="70" t="s">
        <v>33</v>
      </c>
      <c r="H314" s="70" t="s">
        <v>28</v>
      </c>
      <c r="I314" s="71"/>
    </row>
    <row r="315" ht="17.25" customHeight="1">
      <c r="A315" s="61"/>
      <c r="B315" s="63" t="b">
        <v>0</v>
      </c>
      <c r="C315" s="64">
        <v>308.0</v>
      </c>
      <c r="D315" s="66">
        <v>45554.0</v>
      </c>
      <c r="E315" s="67" t="s">
        <v>35</v>
      </c>
      <c r="F315" s="69">
        <v>202301.0</v>
      </c>
      <c r="G315" s="70" t="s">
        <v>220</v>
      </c>
      <c r="H315" s="70" t="s">
        <v>28</v>
      </c>
      <c r="I315" s="71"/>
    </row>
    <row r="316" ht="17.25" customHeight="1">
      <c r="A316" s="61"/>
      <c r="B316" s="63" t="b">
        <v>0</v>
      </c>
      <c r="C316" s="64">
        <v>309.0</v>
      </c>
      <c r="D316" s="66">
        <v>45554.0</v>
      </c>
      <c r="E316" s="67" t="s">
        <v>64</v>
      </c>
      <c r="F316" s="69">
        <v>4000.0</v>
      </c>
      <c r="G316" s="70" t="s">
        <v>66</v>
      </c>
      <c r="H316" s="70" t="s">
        <v>28</v>
      </c>
      <c r="I316" s="71"/>
    </row>
    <row r="317" ht="17.25" customHeight="1">
      <c r="A317" s="61"/>
      <c r="B317" s="63" t="b">
        <v>0</v>
      </c>
      <c r="C317" s="64">
        <v>310.0</v>
      </c>
      <c r="D317" s="66">
        <v>45554.0</v>
      </c>
      <c r="E317" s="67" t="s">
        <v>68</v>
      </c>
      <c r="F317" s="69">
        <v>12200.0</v>
      </c>
      <c r="G317" s="70" t="s">
        <v>245</v>
      </c>
      <c r="H317" s="70" t="s">
        <v>28</v>
      </c>
      <c r="I317" s="71"/>
    </row>
    <row r="318" ht="17.25" customHeight="1">
      <c r="A318" s="61"/>
      <c r="B318" s="63" t="b">
        <v>0</v>
      </c>
      <c r="C318" s="64">
        <v>311.0</v>
      </c>
      <c r="D318" s="66">
        <v>45556.0</v>
      </c>
      <c r="E318" s="67" t="s">
        <v>55</v>
      </c>
      <c r="F318" s="69">
        <v>4500.0</v>
      </c>
      <c r="G318" s="70" t="s">
        <v>33</v>
      </c>
      <c r="H318" s="70" t="s">
        <v>28</v>
      </c>
      <c r="I318" s="71"/>
    </row>
    <row r="319" ht="17.25" customHeight="1">
      <c r="A319" s="61"/>
      <c r="B319" s="63" t="b">
        <v>0</v>
      </c>
      <c r="C319" s="64">
        <v>312.0</v>
      </c>
      <c r="D319" s="66">
        <v>45556.0</v>
      </c>
      <c r="E319" s="67" t="s">
        <v>55</v>
      </c>
      <c r="F319" s="69">
        <v>16000.0</v>
      </c>
      <c r="G319" s="70" t="s">
        <v>215</v>
      </c>
      <c r="H319" s="70" t="s">
        <v>28</v>
      </c>
      <c r="I319" s="71"/>
    </row>
    <row r="320" ht="17.25" customHeight="1">
      <c r="A320" s="61"/>
      <c r="B320" s="63" t="b">
        <v>0</v>
      </c>
      <c r="C320" s="64">
        <v>313.0</v>
      </c>
      <c r="D320" s="66">
        <v>45556.0</v>
      </c>
      <c r="E320" s="67" t="s">
        <v>105</v>
      </c>
      <c r="F320" s="69">
        <v>27000.0</v>
      </c>
      <c r="G320" s="70" t="s">
        <v>106</v>
      </c>
      <c r="H320" s="70" t="s">
        <v>28</v>
      </c>
      <c r="I320" s="71"/>
    </row>
    <row r="321" ht="17.25" customHeight="1">
      <c r="A321" s="61"/>
      <c r="B321" s="63" t="b">
        <v>0</v>
      </c>
      <c r="C321" s="64">
        <v>314.0</v>
      </c>
      <c r="D321" s="66">
        <v>45556.0</v>
      </c>
      <c r="E321" s="67" t="s">
        <v>55</v>
      </c>
      <c r="F321" s="69">
        <v>35000.0</v>
      </c>
      <c r="G321" s="70" t="s">
        <v>247</v>
      </c>
      <c r="H321" s="70" t="s">
        <v>28</v>
      </c>
      <c r="I321" s="71"/>
    </row>
    <row r="322" ht="17.25" customHeight="1">
      <c r="A322" s="61"/>
      <c r="B322" s="63" t="b">
        <v>0</v>
      </c>
      <c r="C322" s="64">
        <v>315.0</v>
      </c>
      <c r="D322" s="66">
        <v>45557.0</v>
      </c>
      <c r="E322" s="67" t="s">
        <v>55</v>
      </c>
      <c r="F322" s="69">
        <v>6500.0</v>
      </c>
      <c r="G322" s="70" t="s">
        <v>33</v>
      </c>
      <c r="H322" s="70" t="s">
        <v>28</v>
      </c>
      <c r="I322" s="71"/>
    </row>
    <row r="323" ht="17.25" customHeight="1">
      <c r="A323" s="61"/>
      <c r="B323" s="63" t="b">
        <v>0</v>
      </c>
      <c r="C323" s="64">
        <v>316.0</v>
      </c>
      <c r="D323" s="66">
        <v>45557.0</v>
      </c>
      <c r="E323" s="67" t="s">
        <v>55</v>
      </c>
      <c r="F323" s="69">
        <v>16500.0</v>
      </c>
      <c r="G323" s="70" t="s">
        <v>45</v>
      </c>
      <c r="H323" s="70" t="s">
        <v>28</v>
      </c>
      <c r="I323" s="71"/>
    </row>
    <row r="324" ht="17.25" customHeight="1">
      <c r="A324" s="61"/>
      <c r="B324" s="63" t="b">
        <v>0</v>
      </c>
      <c r="C324" s="64">
        <v>317.0</v>
      </c>
      <c r="D324" s="66">
        <v>45558.0</v>
      </c>
      <c r="E324" s="67" t="s">
        <v>55</v>
      </c>
      <c r="F324" s="69">
        <v>17000.0</v>
      </c>
      <c r="G324" s="70" t="s">
        <v>248</v>
      </c>
      <c r="H324" s="70" t="s">
        <v>28</v>
      </c>
      <c r="I324" s="71"/>
    </row>
    <row r="325" ht="17.25" customHeight="1">
      <c r="A325" s="61"/>
      <c r="B325" s="63" t="b">
        <v>0</v>
      </c>
      <c r="C325" s="64">
        <v>318.0</v>
      </c>
      <c r="D325" s="66">
        <v>45558.0</v>
      </c>
      <c r="E325" s="67" t="s">
        <v>25</v>
      </c>
      <c r="F325" s="69">
        <v>18000.0</v>
      </c>
      <c r="G325" s="70" t="s">
        <v>249</v>
      </c>
      <c r="H325" s="70" t="s">
        <v>28</v>
      </c>
      <c r="I325" s="71"/>
    </row>
    <row r="326" ht="17.25" customHeight="1">
      <c r="A326" s="61"/>
      <c r="B326" s="63" t="b">
        <v>0</v>
      </c>
      <c r="C326" s="64">
        <v>319.0</v>
      </c>
      <c r="D326" s="66">
        <v>45558.0</v>
      </c>
      <c r="E326" s="67" t="s">
        <v>55</v>
      </c>
      <c r="F326" s="69">
        <v>280000.0</v>
      </c>
      <c r="G326" s="70" t="s">
        <v>250</v>
      </c>
      <c r="H326" s="70" t="s">
        <v>28</v>
      </c>
      <c r="I326" s="71"/>
    </row>
    <row r="327" ht="17.25" customHeight="1">
      <c r="A327" s="61"/>
      <c r="B327" s="63" t="b">
        <v>0</v>
      </c>
      <c r="C327" s="64">
        <v>320.0</v>
      </c>
      <c r="D327" s="66">
        <v>45559.0</v>
      </c>
      <c r="E327" s="67" t="s">
        <v>55</v>
      </c>
      <c r="F327" s="69">
        <v>202351.0</v>
      </c>
      <c r="G327" s="70" t="s">
        <v>220</v>
      </c>
      <c r="H327" s="70" t="s">
        <v>28</v>
      </c>
      <c r="I327" s="71"/>
    </row>
    <row r="328" ht="17.25" customHeight="1">
      <c r="A328" s="61"/>
      <c r="B328" s="63" t="b">
        <v>0</v>
      </c>
      <c r="C328" s="64">
        <v>321.0</v>
      </c>
      <c r="D328" s="66">
        <v>45559.0</v>
      </c>
      <c r="E328" s="67" t="s">
        <v>55</v>
      </c>
      <c r="F328" s="69">
        <v>4500.0</v>
      </c>
      <c r="G328" s="70" t="s">
        <v>33</v>
      </c>
      <c r="H328" s="70" t="s">
        <v>28</v>
      </c>
      <c r="I328" s="71"/>
    </row>
    <row r="329" ht="17.25" customHeight="1">
      <c r="A329" s="61"/>
      <c r="B329" s="63" t="b">
        <v>0</v>
      </c>
      <c r="C329" s="64">
        <v>322.0</v>
      </c>
      <c r="D329" s="66">
        <v>45561.0</v>
      </c>
      <c r="E329" s="67" t="s">
        <v>55</v>
      </c>
      <c r="F329" s="69">
        <v>16500.0</v>
      </c>
      <c r="G329" s="70" t="s">
        <v>45</v>
      </c>
      <c r="H329" s="70" t="s">
        <v>28</v>
      </c>
      <c r="I329" s="71"/>
    </row>
    <row r="330" ht="17.25" customHeight="1">
      <c r="A330" s="61"/>
      <c r="B330" s="63" t="b">
        <v>0</v>
      </c>
      <c r="C330" s="64">
        <v>323.0</v>
      </c>
      <c r="D330" s="66">
        <v>45561.0</v>
      </c>
      <c r="E330" s="67" t="s">
        <v>55</v>
      </c>
      <c r="F330" s="69">
        <v>2500.0</v>
      </c>
      <c r="G330" s="70" t="s">
        <v>33</v>
      </c>
      <c r="H330" s="70" t="s">
        <v>28</v>
      </c>
      <c r="I330" s="71"/>
    </row>
    <row r="331" ht="17.25" customHeight="1">
      <c r="A331" s="61"/>
      <c r="B331" s="63" t="b">
        <v>0</v>
      </c>
      <c r="C331" s="64">
        <v>324.0</v>
      </c>
      <c r="D331" s="66">
        <v>45561.0</v>
      </c>
      <c r="E331" s="67" t="s">
        <v>179</v>
      </c>
      <c r="F331" s="69">
        <f>8527000+1100+1750000</f>
        <v>10278100</v>
      </c>
      <c r="G331" s="70" t="s">
        <v>252</v>
      </c>
      <c r="H331" s="70" t="s">
        <v>63</v>
      </c>
      <c r="I331" s="71"/>
    </row>
    <row r="332" ht="17.25" customHeight="1">
      <c r="A332" s="61"/>
      <c r="B332" s="63" t="b">
        <v>0</v>
      </c>
      <c r="C332" s="64">
        <v>325.0</v>
      </c>
      <c r="D332" s="66">
        <v>45563.0</v>
      </c>
      <c r="E332" s="67" t="s">
        <v>55</v>
      </c>
      <c r="F332" s="69">
        <v>13000.0</v>
      </c>
      <c r="G332" s="70" t="s">
        <v>103</v>
      </c>
      <c r="H332" s="70" t="s">
        <v>28</v>
      </c>
      <c r="I332" s="71"/>
    </row>
    <row r="333" ht="17.25" customHeight="1">
      <c r="A333" s="61"/>
      <c r="B333" s="63" t="b">
        <v>0</v>
      </c>
      <c r="C333" s="64">
        <v>326.0</v>
      </c>
      <c r="D333" s="66">
        <v>45563.0</v>
      </c>
      <c r="E333" s="67" t="s">
        <v>55</v>
      </c>
      <c r="F333" s="69">
        <v>2500.0</v>
      </c>
      <c r="G333" s="70" t="s">
        <v>33</v>
      </c>
      <c r="H333" s="70" t="s">
        <v>28</v>
      </c>
      <c r="I333" s="71"/>
    </row>
    <row r="334" ht="17.25" customHeight="1">
      <c r="A334" s="61"/>
      <c r="B334" s="63" t="b">
        <v>0</v>
      </c>
      <c r="C334" s="64">
        <v>327.0</v>
      </c>
      <c r="D334" s="66">
        <v>45563.0</v>
      </c>
      <c r="E334" s="67" t="s">
        <v>179</v>
      </c>
      <c r="F334" s="69">
        <v>150000.0</v>
      </c>
      <c r="G334" s="70" t="s">
        <v>253</v>
      </c>
      <c r="H334" s="70" t="s">
        <v>28</v>
      </c>
      <c r="I334" s="71"/>
    </row>
    <row r="335" ht="17.25" customHeight="1">
      <c r="A335" s="61"/>
      <c r="B335" s="63" t="b">
        <v>0</v>
      </c>
      <c r="C335" s="64">
        <v>328.0</v>
      </c>
      <c r="D335" s="66">
        <v>45564.0</v>
      </c>
      <c r="E335" s="67" t="s">
        <v>55</v>
      </c>
      <c r="F335" s="69" t="s">
        <v>254</v>
      </c>
      <c r="G335" s="70" t="s">
        <v>33</v>
      </c>
      <c r="H335" s="70" t="s">
        <v>28</v>
      </c>
      <c r="I335" s="71"/>
    </row>
    <row r="336" ht="17.25" customHeight="1">
      <c r="A336" s="61"/>
      <c r="B336" s="63" t="b">
        <v>0</v>
      </c>
      <c r="C336" s="64">
        <v>329.0</v>
      </c>
      <c r="D336" s="66">
        <v>45565.0</v>
      </c>
      <c r="E336" s="67" t="s">
        <v>55</v>
      </c>
      <c r="F336" s="69">
        <v>64500.0</v>
      </c>
      <c r="G336" s="70" t="s">
        <v>256</v>
      </c>
      <c r="H336" s="70" t="s">
        <v>28</v>
      </c>
      <c r="I336" s="71"/>
    </row>
    <row r="337" ht="17.25" customHeight="1">
      <c r="A337" s="61"/>
      <c r="B337" s="63" t="b">
        <v>0</v>
      </c>
      <c r="C337" s="64">
        <v>330.0</v>
      </c>
      <c r="D337" s="66">
        <v>45565.0</v>
      </c>
      <c r="E337" s="67" t="s">
        <v>55</v>
      </c>
      <c r="F337" s="69">
        <v>2500.0</v>
      </c>
      <c r="G337" s="70" t="s">
        <v>33</v>
      </c>
      <c r="H337" s="70" t="s">
        <v>28</v>
      </c>
      <c r="I337" s="71"/>
    </row>
    <row r="338" ht="17.25" customHeight="1">
      <c r="A338" s="61"/>
      <c r="B338" s="63" t="b">
        <v>0</v>
      </c>
      <c r="C338" s="64">
        <v>331.0</v>
      </c>
      <c r="D338" s="66">
        <v>45565.0</v>
      </c>
      <c r="E338" s="67" t="s">
        <v>68</v>
      </c>
      <c r="F338" s="69">
        <v>50000.0</v>
      </c>
      <c r="G338" s="70" t="s">
        <v>257</v>
      </c>
      <c r="H338" s="70" t="s">
        <v>28</v>
      </c>
      <c r="I338" s="71"/>
    </row>
    <row r="339" ht="17.25" customHeight="1">
      <c r="A339" s="61"/>
      <c r="B339" s="63" t="b">
        <v>0</v>
      </c>
      <c r="C339" s="64">
        <v>332.0</v>
      </c>
      <c r="D339" s="66">
        <v>45566.0</v>
      </c>
      <c r="E339" s="67" t="s">
        <v>35</v>
      </c>
      <c r="F339" s="69">
        <v>202351.0</v>
      </c>
      <c r="G339" s="70" t="s">
        <v>36</v>
      </c>
      <c r="H339" s="70" t="s">
        <v>28</v>
      </c>
      <c r="I339" s="71"/>
    </row>
    <row r="340" ht="17.25" customHeight="1">
      <c r="A340" s="61"/>
      <c r="B340" s="63" t="b">
        <v>0</v>
      </c>
      <c r="C340" s="64">
        <v>333.0</v>
      </c>
      <c r="D340" s="66">
        <v>45566.0</v>
      </c>
      <c r="E340" s="67" t="s">
        <v>55</v>
      </c>
      <c r="F340" s="69">
        <v>5000.0</v>
      </c>
      <c r="G340" s="70" t="s">
        <v>33</v>
      </c>
      <c r="H340" s="70" t="s">
        <v>28</v>
      </c>
      <c r="I340" s="71"/>
    </row>
    <row r="341" ht="17.25" customHeight="1">
      <c r="A341" s="61"/>
      <c r="B341" s="63" t="b">
        <v>0</v>
      </c>
      <c r="C341" s="64">
        <v>334.0</v>
      </c>
      <c r="D341" s="66">
        <v>45567.0</v>
      </c>
      <c r="E341" s="67" t="s">
        <v>25</v>
      </c>
      <c r="F341" s="69">
        <v>16500.0</v>
      </c>
      <c r="G341" s="70" t="s">
        <v>45</v>
      </c>
      <c r="H341" s="70" t="s">
        <v>28</v>
      </c>
      <c r="I341" s="71"/>
    </row>
    <row r="342" ht="17.25" customHeight="1">
      <c r="A342" s="61"/>
      <c r="B342" s="63" t="b">
        <v>0</v>
      </c>
      <c r="C342" s="64">
        <v>335.0</v>
      </c>
      <c r="D342" s="66">
        <v>45567.0</v>
      </c>
      <c r="E342" s="67" t="s">
        <v>55</v>
      </c>
      <c r="F342" s="69">
        <v>2500.0</v>
      </c>
      <c r="G342" s="70" t="s">
        <v>33</v>
      </c>
      <c r="H342" s="70" t="s">
        <v>28</v>
      </c>
      <c r="I342" s="71"/>
    </row>
    <row r="343" ht="17.25" customHeight="1">
      <c r="A343" s="61"/>
      <c r="B343" s="63" t="b">
        <v>0</v>
      </c>
      <c r="C343" s="64">
        <v>336.0</v>
      </c>
      <c r="D343" s="66">
        <v>45567.0</v>
      </c>
      <c r="E343" s="67" t="s">
        <v>55</v>
      </c>
      <c r="F343" s="69">
        <v>36000.0</v>
      </c>
      <c r="G343" s="70" t="s">
        <v>259</v>
      </c>
      <c r="H343" s="70" t="s">
        <v>28</v>
      </c>
      <c r="I343" s="71"/>
    </row>
    <row r="344" ht="17.25" customHeight="1">
      <c r="A344" s="61"/>
      <c r="B344" s="63" t="b">
        <v>0</v>
      </c>
      <c r="C344" s="64">
        <v>337.0</v>
      </c>
      <c r="D344" s="66">
        <v>45568.0</v>
      </c>
      <c r="E344" s="67" t="s">
        <v>86</v>
      </c>
      <c r="F344" s="69">
        <v>13000.0</v>
      </c>
      <c r="G344" s="70" t="s">
        <v>260</v>
      </c>
      <c r="H344" s="70" t="s">
        <v>28</v>
      </c>
      <c r="I344" s="71"/>
    </row>
    <row r="345" ht="17.25" customHeight="1">
      <c r="A345" s="61"/>
      <c r="B345" s="63" t="b">
        <v>0</v>
      </c>
      <c r="C345" s="64">
        <v>338.0</v>
      </c>
      <c r="D345" s="66">
        <v>45568.0</v>
      </c>
      <c r="E345" s="67" t="s">
        <v>55</v>
      </c>
      <c r="F345" s="69">
        <v>2000.0</v>
      </c>
      <c r="G345" s="70" t="s">
        <v>33</v>
      </c>
      <c r="H345" s="70" t="s">
        <v>28</v>
      </c>
      <c r="I345" s="71"/>
    </row>
    <row r="346" ht="17.25" customHeight="1">
      <c r="A346" s="61"/>
      <c r="B346" s="63" t="b">
        <v>0</v>
      </c>
      <c r="C346" s="64">
        <v>339.0</v>
      </c>
      <c r="D346" s="66">
        <v>45570.0</v>
      </c>
      <c r="E346" s="67" t="s">
        <v>55</v>
      </c>
      <c r="F346" s="69">
        <v>10000.0</v>
      </c>
      <c r="G346" s="70" t="s">
        <v>236</v>
      </c>
      <c r="H346" s="70" t="s">
        <v>28</v>
      </c>
      <c r="I346" s="71"/>
    </row>
    <row r="347" ht="17.25" customHeight="1">
      <c r="A347" s="61"/>
      <c r="B347" s="63" t="b">
        <v>0</v>
      </c>
      <c r="C347" s="64">
        <v>340.0</v>
      </c>
      <c r="D347" s="66">
        <v>45570.0</v>
      </c>
      <c r="E347" s="67" t="s">
        <v>55</v>
      </c>
      <c r="F347" s="69">
        <v>2500.0</v>
      </c>
      <c r="G347" s="70" t="s">
        <v>33</v>
      </c>
      <c r="H347" s="70" t="s">
        <v>28</v>
      </c>
      <c r="I347" s="71"/>
    </row>
    <row r="348" ht="17.25" customHeight="1">
      <c r="A348" s="61"/>
      <c r="B348" s="63" t="b">
        <v>0</v>
      </c>
      <c r="C348" s="64">
        <v>341.0</v>
      </c>
      <c r="D348" s="66">
        <v>45570.0</v>
      </c>
      <c r="E348" s="67" t="s">
        <v>55</v>
      </c>
      <c r="F348" s="69">
        <v>45000.0</v>
      </c>
      <c r="G348" s="70" t="s">
        <v>166</v>
      </c>
      <c r="H348" s="70" t="s">
        <v>28</v>
      </c>
      <c r="I348" s="71"/>
    </row>
    <row r="349" ht="17.25" customHeight="1">
      <c r="A349" s="61"/>
      <c r="B349" s="63" t="b">
        <v>0</v>
      </c>
      <c r="C349" s="64">
        <v>342.0</v>
      </c>
      <c r="D349" s="66">
        <v>45571.0</v>
      </c>
      <c r="E349" s="67" t="s">
        <v>55</v>
      </c>
      <c r="F349" s="69">
        <v>75000.0</v>
      </c>
      <c r="G349" s="70" t="s">
        <v>263</v>
      </c>
      <c r="H349" s="70" t="s">
        <v>28</v>
      </c>
      <c r="I349" s="71"/>
    </row>
    <row r="350" ht="17.25" customHeight="1">
      <c r="A350" s="61"/>
      <c r="B350" s="63" t="b">
        <v>0</v>
      </c>
      <c r="C350" s="64">
        <v>343.0</v>
      </c>
      <c r="D350" s="66">
        <v>45571.0</v>
      </c>
      <c r="E350" s="67" t="s">
        <v>55</v>
      </c>
      <c r="F350" s="69">
        <v>2000.0</v>
      </c>
      <c r="G350" s="70" t="s">
        <v>33</v>
      </c>
      <c r="H350" s="70" t="s">
        <v>28</v>
      </c>
      <c r="I350" s="71"/>
    </row>
    <row r="351" ht="17.25" customHeight="1">
      <c r="A351" s="61"/>
      <c r="B351" s="63" t="b">
        <v>0</v>
      </c>
      <c r="C351" s="64">
        <v>344.0</v>
      </c>
      <c r="D351" s="66">
        <v>45571.0</v>
      </c>
      <c r="E351" s="67" t="s">
        <v>25</v>
      </c>
      <c r="F351" s="69">
        <v>28000.0</v>
      </c>
      <c r="G351" s="70" t="s">
        <v>30</v>
      </c>
      <c r="H351" s="70" t="s">
        <v>28</v>
      </c>
      <c r="I351" s="71"/>
    </row>
    <row r="352" ht="17.25" customHeight="1">
      <c r="A352" s="61"/>
      <c r="B352" s="63" t="b">
        <v>0</v>
      </c>
      <c r="C352" s="64">
        <v>345.0</v>
      </c>
      <c r="D352" s="66">
        <v>45571.0</v>
      </c>
      <c r="E352" s="67" t="s">
        <v>25</v>
      </c>
      <c r="F352" s="69">
        <v>27000.0</v>
      </c>
      <c r="G352" s="70" t="s">
        <v>26</v>
      </c>
      <c r="H352" s="70" t="s">
        <v>28</v>
      </c>
      <c r="I352" s="71"/>
    </row>
    <row r="353" ht="17.25" customHeight="1">
      <c r="A353" s="61"/>
      <c r="B353" s="63" t="b">
        <v>0</v>
      </c>
      <c r="C353" s="64">
        <v>346.0</v>
      </c>
      <c r="D353" s="66">
        <v>45572.0</v>
      </c>
      <c r="E353" s="67" t="s">
        <v>55</v>
      </c>
      <c r="F353" s="69">
        <v>2500.0</v>
      </c>
      <c r="G353" s="70" t="s">
        <v>33</v>
      </c>
      <c r="H353" s="70" t="s">
        <v>28</v>
      </c>
      <c r="I353" s="71"/>
    </row>
    <row r="354" ht="17.25" customHeight="1">
      <c r="A354" s="61"/>
      <c r="B354" s="63" t="b">
        <v>0</v>
      </c>
      <c r="C354" s="64">
        <v>347.0</v>
      </c>
      <c r="D354" s="66">
        <v>45572.0</v>
      </c>
      <c r="E354" s="67" t="s">
        <v>25</v>
      </c>
      <c r="F354" s="69">
        <v>16500.0</v>
      </c>
      <c r="G354" s="70" t="s">
        <v>45</v>
      </c>
      <c r="H354" s="70" t="s">
        <v>28</v>
      </c>
      <c r="I354" s="71"/>
    </row>
    <row r="355" ht="17.25" customHeight="1">
      <c r="A355" s="61"/>
      <c r="B355" s="63" t="b">
        <v>0</v>
      </c>
      <c r="C355" s="64">
        <v>348.0</v>
      </c>
      <c r="D355" s="66">
        <v>45572.0</v>
      </c>
      <c r="E355" s="67" t="s">
        <v>35</v>
      </c>
      <c r="F355" s="69">
        <v>202350.0</v>
      </c>
      <c r="G355" s="70" t="s">
        <v>36</v>
      </c>
      <c r="H355" s="70" t="s">
        <v>28</v>
      </c>
      <c r="I355" s="71"/>
    </row>
    <row r="356" ht="17.25" customHeight="1">
      <c r="A356" s="61"/>
      <c r="B356" s="63" t="b">
        <v>0</v>
      </c>
      <c r="C356" s="64">
        <v>349.0</v>
      </c>
      <c r="D356" s="66">
        <v>45573.0</v>
      </c>
      <c r="E356" s="67" t="s">
        <v>55</v>
      </c>
      <c r="F356" s="69">
        <v>2500.0</v>
      </c>
      <c r="G356" s="70" t="s">
        <v>33</v>
      </c>
      <c r="H356" s="70" t="s">
        <v>28</v>
      </c>
      <c r="I356" s="71"/>
    </row>
    <row r="357" ht="17.25" customHeight="1">
      <c r="A357" s="61"/>
      <c r="B357" s="63" t="b">
        <v>0</v>
      </c>
      <c r="C357" s="64">
        <v>350.0</v>
      </c>
      <c r="D357" s="66">
        <v>45573.0</v>
      </c>
      <c r="E357" s="67" t="s">
        <v>86</v>
      </c>
      <c r="F357" s="69">
        <v>25000.0</v>
      </c>
      <c r="G357" s="70" t="s">
        <v>265</v>
      </c>
      <c r="H357" s="70" t="s">
        <v>28</v>
      </c>
      <c r="I357" s="71"/>
    </row>
    <row r="358" ht="17.25" customHeight="1">
      <c r="A358" s="61"/>
      <c r="B358" s="63" t="b">
        <v>0</v>
      </c>
      <c r="C358" s="64">
        <v>351.0</v>
      </c>
      <c r="D358" s="66">
        <v>45574.0</v>
      </c>
      <c r="E358" s="67" t="s">
        <v>55</v>
      </c>
      <c r="F358" s="69">
        <v>21000.0</v>
      </c>
      <c r="G358" s="70" t="s">
        <v>267</v>
      </c>
      <c r="H358" s="70" t="s">
        <v>28</v>
      </c>
      <c r="I358" s="71"/>
    </row>
    <row r="359" ht="17.25" customHeight="1">
      <c r="A359" s="61"/>
      <c r="B359" s="63" t="b">
        <v>0</v>
      </c>
      <c r="C359" s="64">
        <v>352.0</v>
      </c>
      <c r="D359" s="66">
        <v>45574.0</v>
      </c>
      <c r="E359" s="67" t="s">
        <v>55</v>
      </c>
      <c r="F359" s="69">
        <v>20000.0</v>
      </c>
      <c r="G359" s="70" t="s">
        <v>268</v>
      </c>
      <c r="H359" s="70" t="s">
        <v>28</v>
      </c>
      <c r="I359" s="71"/>
    </row>
    <row r="360" ht="17.25" customHeight="1">
      <c r="A360" s="61"/>
      <c r="B360" s="63" t="b">
        <v>0</v>
      </c>
      <c r="C360" s="64">
        <v>353.0</v>
      </c>
      <c r="D360" s="66">
        <v>45574.0</v>
      </c>
      <c r="E360" s="67" t="s">
        <v>55</v>
      </c>
      <c r="F360" s="69">
        <v>2500.0</v>
      </c>
      <c r="G360" s="70" t="s">
        <v>33</v>
      </c>
      <c r="H360" s="70" t="s">
        <v>28</v>
      </c>
      <c r="I360" s="71"/>
    </row>
    <row r="361" ht="17.25" customHeight="1">
      <c r="A361" s="61"/>
      <c r="B361" s="63" t="b">
        <v>0</v>
      </c>
      <c r="C361" s="64">
        <v>354.0</v>
      </c>
      <c r="D361" s="66">
        <v>45575.0</v>
      </c>
      <c r="E361" s="67" t="s">
        <v>55</v>
      </c>
      <c r="F361" s="69">
        <v>4500.0</v>
      </c>
      <c r="G361" s="70" t="s">
        <v>33</v>
      </c>
      <c r="H361" s="70" t="s">
        <v>28</v>
      </c>
      <c r="I361" s="71"/>
    </row>
    <row r="362" ht="17.25" customHeight="1">
      <c r="A362" s="61"/>
      <c r="B362" s="63" t="b">
        <v>0</v>
      </c>
      <c r="C362" s="64">
        <v>355.0</v>
      </c>
      <c r="D362" s="66">
        <v>45575.0</v>
      </c>
      <c r="E362" s="67" t="s">
        <v>55</v>
      </c>
      <c r="F362" s="69">
        <v>13000.0</v>
      </c>
      <c r="G362" s="70" t="s">
        <v>103</v>
      </c>
      <c r="H362" s="70" t="s">
        <v>28</v>
      </c>
      <c r="I362" s="71"/>
    </row>
    <row r="363" ht="17.25" customHeight="1">
      <c r="A363" s="61"/>
      <c r="B363" s="63" t="b">
        <v>0</v>
      </c>
      <c r="C363" s="64">
        <v>356.0</v>
      </c>
      <c r="D363" s="66">
        <v>45577.0</v>
      </c>
      <c r="E363" s="67" t="s">
        <v>55</v>
      </c>
      <c r="F363" s="69">
        <v>2000.0</v>
      </c>
      <c r="G363" s="70" t="s">
        <v>33</v>
      </c>
      <c r="H363" s="70" t="s">
        <v>28</v>
      </c>
      <c r="I363" s="71"/>
    </row>
    <row r="364" ht="17.25" customHeight="1">
      <c r="A364" s="61"/>
      <c r="B364" s="63" t="b">
        <v>0</v>
      </c>
      <c r="C364" s="64">
        <v>357.0</v>
      </c>
      <c r="D364" s="66">
        <v>45577.0</v>
      </c>
      <c r="E364" s="67" t="s">
        <v>105</v>
      </c>
      <c r="F364" s="69">
        <v>27000.0</v>
      </c>
      <c r="G364" s="70" t="s">
        <v>106</v>
      </c>
      <c r="H364" s="70" t="s">
        <v>28</v>
      </c>
      <c r="I364" s="71"/>
    </row>
    <row r="365" ht="17.25" customHeight="1">
      <c r="A365" s="61"/>
      <c r="B365" s="63" t="b">
        <v>0</v>
      </c>
      <c r="C365" s="64">
        <v>358.0</v>
      </c>
      <c r="D365" s="66">
        <v>45578.0</v>
      </c>
      <c r="E365" s="67" t="s">
        <v>35</v>
      </c>
      <c r="F365" s="69">
        <v>202351.0</v>
      </c>
      <c r="G365" s="70" t="s">
        <v>36</v>
      </c>
      <c r="H365" s="70" t="s">
        <v>28</v>
      </c>
      <c r="I365" s="71"/>
    </row>
    <row r="366" ht="17.25" customHeight="1">
      <c r="A366" s="61"/>
      <c r="B366" s="63" t="b">
        <v>0</v>
      </c>
      <c r="C366" s="64">
        <v>359.0</v>
      </c>
      <c r="D366" s="66">
        <v>45578.0</v>
      </c>
      <c r="E366" s="67" t="s">
        <v>55</v>
      </c>
      <c r="F366" s="69">
        <v>2000.0</v>
      </c>
      <c r="G366" s="70" t="s">
        <v>33</v>
      </c>
      <c r="H366" s="70" t="s">
        <v>28</v>
      </c>
      <c r="I366" s="71"/>
    </row>
    <row r="367" ht="17.25" customHeight="1">
      <c r="A367" s="61"/>
      <c r="B367" s="63" t="b">
        <v>0</v>
      </c>
      <c r="C367" s="64">
        <v>360.0</v>
      </c>
      <c r="D367" s="66">
        <v>45578.0</v>
      </c>
      <c r="E367" s="67" t="s">
        <v>179</v>
      </c>
      <c r="F367" s="69">
        <v>440000.0</v>
      </c>
      <c r="G367" s="70" t="s">
        <v>271</v>
      </c>
      <c r="H367" s="70" t="s">
        <v>28</v>
      </c>
      <c r="I367" s="71"/>
    </row>
    <row r="368" ht="17.25" customHeight="1">
      <c r="A368" s="61"/>
      <c r="B368" s="63" t="b">
        <v>0</v>
      </c>
      <c r="C368" s="64">
        <v>361.0</v>
      </c>
      <c r="D368" s="66">
        <v>45579.0</v>
      </c>
      <c r="E368" s="67" t="s">
        <v>55</v>
      </c>
      <c r="F368" s="69">
        <v>2000.0</v>
      </c>
      <c r="G368" s="70" t="s">
        <v>33</v>
      </c>
      <c r="H368" s="70" t="s">
        <v>28</v>
      </c>
      <c r="I368" s="71"/>
    </row>
    <row r="369" ht="17.25" customHeight="1">
      <c r="A369" s="61"/>
      <c r="B369" s="63" t="b">
        <v>0</v>
      </c>
      <c r="C369" s="64">
        <v>362.0</v>
      </c>
      <c r="D369" s="66">
        <v>45579.0</v>
      </c>
      <c r="E369" s="67" t="s">
        <v>55</v>
      </c>
      <c r="F369" s="69">
        <v>12100.0</v>
      </c>
      <c r="G369" s="70" t="s">
        <v>178</v>
      </c>
      <c r="H369" s="70" t="s">
        <v>28</v>
      </c>
      <c r="I369" s="71"/>
    </row>
    <row r="370" ht="17.25" customHeight="1">
      <c r="A370" s="61"/>
      <c r="B370" s="63" t="b">
        <v>0</v>
      </c>
      <c r="C370" s="64">
        <v>363.0</v>
      </c>
      <c r="D370" s="66">
        <v>45579.0</v>
      </c>
      <c r="E370" s="67" t="s">
        <v>55</v>
      </c>
      <c r="F370" s="69">
        <v>11000.0</v>
      </c>
      <c r="G370" s="70" t="s">
        <v>273</v>
      </c>
      <c r="H370" s="70" t="s">
        <v>28</v>
      </c>
      <c r="I370" s="71"/>
    </row>
    <row r="371" ht="17.25" customHeight="1">
      <c r="A371" s="61"/>
      <c r="B371" s="63" t="b">
        <v>0</v>
      </c>
      <c r="C371" s="64">
        <v>364.0</v>
      </c>
      <c r="D371" s="66">
        <v>45580.0</v>
      </c>
      <c r="E371" s="67" t="s">
        <v>55</v>
      </c>
      <c r="F371" s="69">
        <v>2500.0</v>
      </c>
      <c r="G371" s="70" t="s">
        <v>33</v>
      </c>
      <c r="H371" s="70" t="s">
        <v>28</v>
      </c>
      <c r="I371" s="71"/>
    </row>
    <row r="372" ht="17.25" customHeight="1">
      <c r="A372" s="61"/>
      <c r="B372" s="63" t="b">
        <v>0</v>
      </c>
      <c r="C372" s="64">
        <v>365.0</v>
      </c>
      <c r="D372" s="66">
        <v>45581.0</v>
      </c>
      <c r="E372" s="67" t="s">
        <v>55</v>
      </c>
      <c r="F372" s="69">
        <v>2000.0</v>
      </c>
      <c r="G372" s="70" t="s">
        <v>33</v>
      </c>
      <c r="H372" s="70" t="s">
        <v>28</v>
      </c>
      <c r="I372" s="71"/>
    </row>
    <row r="373" ht="17.25" customHeight="1">
      <c r="A373" s="61"/>
      <c r="B373" s="63" t="b">
        <v>0</v>
      </c>
      <c r="C373" s="64">
        <v>366.0</v>
      </c>
      <c r="D373" s="66">
        <v>45582.0</v>
      </c>
      <c r="E373" s="67" t="s">
        <v>55</v>
      </c>
      <c r="F373" s="69">
        <v>2500.0</v>
      </c>
      <c r="G373" s="70" t="s">
        <v>33</v>
      </c>
      <c r="H373" s="70" t="s">
        <v>28</v>
      </c>
      <c r="I373" s="71"/>
    </row>
    <row r="374" ht="17.25" customHeight="1">
      <c r="A374" s="61"/>
      <c r="B374" s="63" t="b">
        <v>0</v>
      </c>
      <c r="C374" s="64">
        <v>367.0</v>
      </c>
      <c r="D374" s="66">
        <v>45582.0</v>
      </c>
      <c r="E374" s="67" t="s">
        <v>25</v>
      </c>
      <c r="F374" s="69">
        <v>11000.0</v>
      </c>
      <c r="G374" s="70" t="s">
        <v>45</v>
      </c>
      <c r="H374" s="70" t="s">
        <v>28</v>
      </c>
      <c r="I374" s="71"/>
    </row>
    <row r="375" ht="17.25" customHeight="1">
      <c r="A375" s="61"/>
      <c r="B375" s="63" t="b">
        <v>0</v>
      </c>
      <c r="C375" s="64">
        <v>368.0</v>
      </c>
      <c r="D375" s="66">
        <v>45582.0</v>
      </c>
      <c r="E375" s="67" t="s">
        <v>55</v>
      </c>
      <c r="F375" s="69">
        <v>280000.0</v>
      </c>
      <c r="G375" s="70" t="s">
        <v>274</v>
      </c>
      <c r="H375" s="70" t="s">
        <v>28</v>
      </c>
      <c r="I375" s="71"/>
    </row>
    <row r="376" ht="17.25" customHeight="1">
      <c r="A376" s="61"/>
      <c r="B376" s="63" t="b">
        <v>0</v>
      </c>
      <c r="C376" s="64">
        <v>369.0</v>
      </c>
      <c r="D376" s="66">
        <v>45584.0</v>
      </c>
      <c r="E376" s="67" t="s">
        <v>55</v>
      </c>
      <c r="F376" s="69">
        <v>6000.0</v>
      </c>
      <c r="G376" s="70" t="s">
        <v>33</v>
      </c>
      <c r="H376" s="70" t="s">
        <v>28</v>
      </c>
      <c r="I376" s="71"/>
    </row>
    <row r="377" ht="17.25" customHeight="1">
      <c r="A377" s="61"/>
      <c r="B377" s="63" t="b">
        <v>0</v>
      </c>
      <c r="C377" s="64">
        <v>370.0</v>
      </c>
      <c r="D377" s="66">
        <v>45584.0</v>
      </c>
      <c r="E377" s="67" t="s">
        <v>35</v>
      </c>
      <c r="F377" s="69">
        <v>202402.0</v>
      </c>
      <c r="G377" s="70" t="s">
        <v>36</v>
      </c>
      <c r="H377" s="70" t="s">
        <v>28</v>
      </c>
      <c r="I377" s="71"/>
    </row>
    <row r="378" ht="17.25" customHeight="1">
      <c r="A378" s="61"/>
      <c r="B378" s="63" t="b">
        <v>0</v>
      </c>
      <c r="C378" s="64">
        <v>371.0</v>
      </c>
      <c r="D378" s="66">
        <v>45585.0</v>
      </c>
      <c r="E378" s="67" t="s">
        <v>55</v>
      </c>
      <c r="F378" s="69">
        <v>2000.0</v>
      </c>
      <c r="G378" s="70" t="s">
        <v>33</v>
      </c>
      <c r="H378" s="70" t="s">
        <v>28</v>
      </c>
      <c r="I378" s="71"/>
    </row>
    <row r="379" ht="17.25" customHeight="1">
      <c r="A379" s="61"/>
      <c r="B379" s="63" t="b">
        <v>0</v>
      </c>
      <c r="C379" s="64">
        <v>372.0</v>
      </c>
      <c r="D379" s="66">
        <v>45585.0</v>
      </c>
      <c r="E379" s="67" t="s">
        <v>25</v>
      </c>
      <c r="F379" s="69">
        <v>9500.0</v>
      </c>
      <c r="G379" s="70" t="s">
        <v>276</v>
      </c>
      <c r="H379" s="70" t="s">
        <v>28</v>
      </c>
      <c r="I379" s="71"/>
    </row>
    <row r="380" ht="17.25" customHeight="1">
      <c r="A380" s="61"/>
      <c r="B380" s="63" t="b">
        <v>0</v>
      </c>
      <c r="C380" s="64">
        <v>373.0</v>
      </c>
      <c r="D380" s="66">
        <v>45585.0</v>
      </c>
      <c r="E380" s="67" t="s">
        <v>25</v>
      </c>
      <c r="F380" s="69">
        <v>39600.0</v>
      </c>
      <c r="G380" s="70" t="s">
        <v>26</v>
      </c>
      <c r="H380" s="70" t="s">
        <v>28</v>
      </c>
      <c r="I380" s="71"/>
    </row>
    <row r="381" ht="17.25" customHeight="1">
      <c r="A381" s="61"/>
      <c r="B381" s="63" t="b">
        <v>0</v>
      </c>
      <c r="C381" s="64">
        <v>374.0</v>
      </c>
      <c r="D381" s="66">
        <v>45585.0</v>
      </c>
      <c r="E381" s="67" t="s">
        <v>64</v>
      </c>
      <c r="F381" s="69">
        <v>15000.0</v>
      </c>
      <c r="G381" s="70" t="s">
        <v>226</v>
      </c>
      <c r="H381" s="70" t="s">
        <v>28</v>
      </c>
      <c r="I381" s="71"/>
    </row>
    <row r="382" ht="17.25" customHeight="1">
      <c r="A382" s="61"/>
      <c r="B382" s="63" t="b">
        <v>0</v>
      </c>
      <c r="C382" s="64">
        <v>375.0</v>
      </c>
      <c r="D382" s="66">
        <v>45585.0</v>
      </c>
      <c r="E382" s="67" t="s">
        <v>64</v>
      </c>
      <c r="F382" s="69">
        <v>12500.0</v>
      </c>
      <c r="G382" s="70" t="s">
        <v>278</v>
      </c>
      <c r="H382" s="70" t="s">
        <v>28</v>
      </c>
      <c r="I382" s="71"/>
    </row>
    <row r="383" ht="17.25" customHeight="1">
      <c r="A383" s="61"/>
      <c r="B383" s="63" t="b">
        <v>0</v>
      </c>
      <c r="C383" s="64">
        <v>376.0</v>
      </c>
      <c r="D383" s="66">
        <v>45585.0</v>
      </c>
      <c r="E383" s="67" t="s">
        <v>68</v>
      </c>
      <c r="F383" s="69">
        <v>50000.0</v>
      </c>
      <c r="G383" s="70" t="s">
        <v>279</v>
      </c>
      <c r="H383" s="70" t="s">
        <v>28</v>
      </c>
      <c r="I383" s="71"/>
    </row>
    <row r="384" ht="17.25" customHeight="1">
      <c r="A384" s="61"/>
      <c r="B384" s="63" t="b">
        <v>0</v>
      </c>
      <c r="C384" s="64">
        <v>377.0</v>
      </c>
      <c r="D384" s="66">
        <v>45586.0</v>
      </c>
      <c r="E384" s="67" t="s">
        <v>55</v>
      </c>
      <c r="F384" s="69">
        <v>5000.0</v>
      </c>
      <c r="G384" s="70" t="s">
        <v>280</v>
      </c>
      <c r="H384" s="70" t="s">
        <v>28</v>
      </c>
      <c r="I384" s="71"/>
    </row>
    <row r="385" ht="17.25" customHeight="1">
      <c r="A385" s="61"/>
      <c r="B385" s="63" t="b">
        <v>0</v>
      </c>
      <c r="C385" s="64">
        <v>378.0</v>
      </c>
      <c r="D385" s="66">
        <v>45586.0</v>
      </c>
      <c r="E385" s="67" t="s">
        <v>55</v>
      </c>
      <c r="F385" s="69">
        <v>10000.0</v>
      </c>
      <c r="G385" s="70" t="s">
        <v>236</v>
      </c>
      <c r="H385" s="70" t="s">
        <v>28</v>
      </c>
      <c r="I385" s="71"/>
    </row>
    <row r="386" ht="17.25" customHeight="1">
      <c r="A386" s="61"/>
      <c r="B386" s="63" t="b">
        <v>0</v>
      </c>
      <c r="C386" s="64">
        <v>379.0</v>
      </c>
      <c r="D386" s="66">
        <v>45586.0</v>
      </c>
      <c r="E386" s="67" t="s">
        <v>25</v>
      </c>
      <c r="F386" s="69">
        <v>16500.0</v>
      </c>
      <c r="G386" s="70" t="s">
        <v>45</v>
      </c>
      <c r="H386" s="70" t="s">
        <v>28</v>
      </c>
      <c r="I386" s="71"/>
    </row>
    <row r="387" ht="17.25" customHeight="1">
      <c r="A387" s="61"/>
      <c r="B387" s="63" t="b">
        <v>0</v>
      </c>
      <c r="C387" s="64">
        <v>380.0</v>
      </c>
      <c r="D387" s="66">
        <v>45587.0</v>
      </c>
      <c r="E387" s="67" t="s">
        <v>55</v>
      </c>
      <c r="F387" s="69">
        <v>6000.0</v>
      </c>
      <c r="G387" s="70" t="s">
        <v>33</v>
      </c>
      <c r="H387" s="70" t="s">
        <v>28</v>
      </c>
      <c r="I387" s="71"/>
    </row>
    <row r="388" ht="17.25" customHeight="1">
      <c r="A388" s="61"/>
      <c r="B388" s="63" t="b">
        <v>0</v>
      </c>
      <c r="C388" s="64">
        <v>381.0</v>
      </c>
      <c r="D388" s="66">
        <v>45587.0</v>
      </c>
      <c r="E388" s="67" t="s">
        <v>55</v>
      </c>
      <c r="F388" s="69">
        <v>7500.0</v>
      </c>
      <c r="G388" s="70" t="s">
        <v>282</v>
      </c>
      <c r="H388" s="70" t="s">
        <v>28</v>
      </c>
      <c r="I388" s="71"/>
    </row>
    <row r="389" ht="17.25" customHeight="1">
      <c r="A389" s="61"/>
      <c r="B389" s="63" t="b">
        <v>0</v>
      </c>
      <c r="C389" s="64">
        <v>382.0</v>
      </c>
      <c r="D389" s="66">
        <v>45588.0</v>
      </c>
      <c r="E389" s="67" t="s">
        <v>55</v>
      </c>
      <c r="F389" s="69">
        <v>7500.0</v>
      </c>
      <c r="G389" s="70" t="s">
        <v>283</v>
      </c>
      <c r="H389" s="70" t="s">
        <v>28</v>
      </c>
      <c r="I389" s="71"/>
    </row>
    <row r="390" ht="17.25" customHeight="1">
      <c r="A390" s="61"/>
      <c r="B390" s="63" t="b">
        <v>0</v>
      </c>
      <c r="C390" s="64">
        <v>383.0</v>
      </c>
      <c r="D390" s="66">
        <v>45588.0</v>
      </c>
      <c r="E390" s="67" t="s">
        <v>25</v>
      </c>
      <c r="F390" s="69">
        <v>25000.0</v>
      </c>
      <c r="G390" s="70" t="s">
        <v>284</v>
      </c>
      <c r="H390" s="70" t="s">
        <v>28</v>
      </c>
      <c r="I390" s="71"/>
    </row>
    <row r="391" ht="17.25" customHeight="1">
      <c r="A391" s="61"/>
      <c r="B391" s="63" t="b">
        <v>0</v>
      </c>
      <c r="C391" s="64">
        <v>384.0</v>
      </c>
      <c r="D391" s="66">
        <v>45588.0</v>
      </c>
      <c r="E391" s="67" t="s">
        <v>25</v>
      </c>
      <c r="F391" s="69">
        <v>29000.0</v>
      </c>
      <c r="G391" s="70" t="s">
        <v>57</v>
      </c>
      <c r="H391" s="70" t="s">
        <v>28</v>
      </c>
      <c r="I391" s="71"/>
    </row>
    <row r="392" ht="17.25" customHeight="1">
      <c r="A392" s="61"/>
      <c r="B392" s="63" t="b">
        <v>0</v>
      </c>
      <c r="C392" s="64">
        <v>385.0</v>
      </c>
      <c r="D392" s="66">
        <v>45588.0</v>
      </c>
      <c r="E392" s="67" t="s">
        <v>25</v>
      </c>
      <c r="F392" s="69">
        <v>36000.0</v>
      </c>
      <c r="G392" s="70" t="s">
        <v>176</v>
      </c>
      <c r="H392" s="70" t="s">
        <v>28</v>
      </c>
      <c r="I392" s="71"/>
    </row>
    <row r="393" ht="17.25" customHeight="1">
      <c r="A393" s="61"/>
      <c r="B393" s="63" t="b">
        <v>0</v>
      </c>
      <c r="C393" s="64">
        <v>386.0</v>
      </c>
      <c r="D393" s="66">
        <v>45588.0</v>
      </c>
      <c r="E393" s="67" t="s">
        <v>55</v>
      </c>
      <c r="F393" s="69">
        <v>4000.0</v>
      </c>
      <c r="G393" s="70" t="s">
        <v>33</v>
      </c>
      <c r="H393" s="70" t="s">
        <v>28</v>
      </c>
      <c r="I393" s="71"/>
    </row>
    <row r="394" ht="17.25" customHeight="1">
      <c r="A394" s="61"/>
      <c r="B394" s="63" t="b">
        <v>0</v>
      </c>
      <c r="C394" s="64">
        <v>387.0</v>
      </c>
      <c r="D394" s="66">
        <v>45589.0</v>
      </c>
      <c r="E394" s="67" t="s">
        <v>55</v>
      </c>
      <c r="F394" s="69">
        <v>2000.0</v>
      </c>
      <c r="G394" s="70" t="s">
        <v>33</v>
      </c>
      <c r="H394" s="70" t="s">
        <v>28</v>
      </c>
      <c r="I394" s="71"/>
    </row>
    <row r="395" ht="17.25" customHeight="1">
      <c r="A395" s="61"/>
      <c r="B395" s="63" t="b">
        <v>0</v>
      </c>
      <c r="C395" s="64">
        <v>388.0</v>
      </c>
      <c r="D395" s="66">
        <v>45589.0</v>
      </c>
      <c r="E395" s="67" t="s">
        <v>138</v>
      </c>
      <c r="F395" s="69">
        <v>30000.0</v>
      </c>
      <c r="G395" s="70" t="s">
        <v>139</v>
      </c>
      <c r="H395" s="70" t="s">
        <v>28</v>
      </c>
      <c r="I395" s="71"/>
    </row>
    <row r="396" ht="17.25" customHeight="1">
      <c r="A396" s="61"/>
      <c r="B396" s="63" t="b">
        <v>0</v>
      </c>
      <c r="C396" s="64">
        <v>389.0</v>
      </c>
      <c r="D396" s="66">
        <v>45591.0</v>
      </c>
      <c r="E396" s="67" t="s">
        <v>55</v>
      </c>
      <c r="F396" s="69">
        <v>6000.0</v>
      </c>
      <c r="G396" s="70" t="s">
        <v>33</v>
      </c>
      <c r="H396" s="70" t="s">
        <v>28</v>
      </c>
      <c r="I396" s="71"/>
    </row>
    <row r="397" ht="17.25" customHeight="1">
      <c r="A397" s="61"/>
      <c r="B397" s="63" t="b">
        <v>0</v>
      </c>
      <c r="C397" s="64">
        <v>390.0</v>
      </c>
      <c r="D397" s="66">
        <v>45591.0</v>
      </c>
      <c r="E397" s="67" t="s">
        <v>55</v>
      </c>
      <c r="F397" s="69">
        <v>16500.0</v>
      </c>
      <c r="G397" s="70" t="s">
        <v>273</v>
      </c>
      <c r="H397" s="70" t="s">
        <v>28</v>
      </c>
      <c r="I397" s="71"/>
    </row>
    <row r="398" ht="17.25" customHeight="1">
      <c r="A398" s="61"/>
      <c r="B398" s="63" t="b">
        <v>0</v>
      </c>
      <c r="C398" s="64">
        <v>391.0</v>
      </c>
      <c r="D398" s="66">
        <v>45592.0</v>
      </c>
      <c r="E398" s="67" t="s">
        <v>68</v>
      </c>
      <c r="F398" s="69">
        <v>25000.0</v>
      </c>
      <c r="G398" s="70" t="s">
        <v>286</v>
      </c>
      <c r="H398" s="70" t="s">
        <v>28</v>
      </c>
      <c r="I398" s="71"/>
    </row>
    <row r="399" ht="17.25" customHeight="1">
      <c r="A399" s="61"/>
      <c r="B399" s="63" t="b">
        <v>0</v>
      </c>
      <c r="C399" s="64">
        <v>392.0</v>
      </c>
      <c r="D399" s="66">
        <v>45592.0</v>
      </c>
      <c r="E399" s="67" t="s">
        <v>105</v>
      </c>
      <c r="F399" s="69">
        <v>20605.0</v>
      </c>
      <c r="G399" s="70" t="s">
        <v>106</v>
      </c>
      <c r="H399" s="70" t="s">
        <v>28</v>
      </c>
      <c r="I399" s="71"/>
    </row>
    <row r="400" ht="17.25" customHeight="1">
      <c r="A400" s="61"/>
      <c r="B400" s="63" t="b">
        <v>0</v>
      </c>
      <c r="C400" s="64">
        <v>393.0</v>
      </c>
      <c r="D400" s="66">
        <v>45592.0</v>
      </c>
      <c r="E400" s="67" t="s">
        <v>55</v>
      </c>
      <c r="F400" s="69">
        <v>2000.0</v>
      </c>
      <c r="G400" s="70" t="s">
        <v>33</v>
      </c>
      <c r="H400" s="70" t="s">
        <v>28</v>
      </c>
      <c r="I400" s="71"/>
    </row>
    <row r="401" ht="17.25" customHeight="1">
      <c r="A401" s="61"/>
      <c r="B401" s="63" t="b">
        <v>0</v>
      </c>
      <c r="C401" s="64">
        <v>394.0</v>
      </c>
      <c r="D401" s="66">
        <v>45592.0</v>
      </c>
      <c r="E401" s="67" t="s">
        <v>179</v>
      </c>
      <c r="F401" s="69">
        <f>7386000+4500000</f>
        <v>11886000</v>
      </c>
      <c r="G401" s="70" t="s">
        <v>287</v>
      </c>
      <c r="H401" s="70" t="s">
        <v>63</v>
      </c>
      <c r="I401" s="71"/>
    </row>
    <row r="402" ht="17.25" customHeight="1">
      <c r="A402" s="61"/>
      <c r="B402" s="63" t="b">
        <v>0</v>
      </c>
      <c r="C402" s="64">
        <v>395.0</v>
      </c>
      <c r="D402" s="66">
        <v>45593.0</v>
      </c>
      <c r="E402" s="67" t="s">
        <v>55</v>
      </c>
      <c r="F402" s="69">
        <v>2000.0</v>
      </c>
      <c r="G402" s="70" t="s">
        <v>33</v>
      </c>
      <c r="H402" s="70" t="s">
        <v>28</v>
      </c>
      <c r="I402" s="71"/>
    </row>
    <row r="403" ht="17.25" customHeight="1">
      <c r="A403" s="61"/>
      <c r="B403" s="63" t="b">
        <v>0</v>
      </c>
      <c r="C403" s="64">
        <v>396.0</v>
      </c>
      <c r="D403" s="66">
        <v>45594.0</v>
      </c>
      <c r="E403" s="67" t="s">
        <v>55</v>
      </c>
      <c r="F403" s="69">
        <v>2000.0</v>
      </c>
      <c r="G403" s="70" t="s">
        <v>33</v>
      </c>
      <c r="H403" s="70" t="s">
        <v>28</v>
      </c>
      <c r="I403" s="71"/>
    </row>
    <row r="404" ht="17.25" customHeight="1">
      <c r="A404" s="61"/>
      <c r="B404" s="63" t="b">
        <v>0</v>
      </c>
      <c r="C404" s="64">
        <v>397.0</v>
      </c>
      <c r="D404" s="66">
        <v>45594.0</v>
      </c>
      <c r="E404" s="67" t="s">
        <v>55</v>
      </c>
      <c r="F404" s="69">
        <v>50000.0</v>
      </c>
      <c r="G404" s="70" t="s">
        <v>289</v>
      </c>
      <c r="H404" s="70" t="s">
        <v>28</v>
      </c>
      <c r="I404" s="71"/>
    </row>
    <row r="405" ht="17.25" customHeight="1">
      <c r="A405" s="61"/>
      <c r="B405" s="63" t="b">
        <v>0</v>
      </c>
      <c r="C405" s="64">
        <v>398.0</v>
      </c>
      <c r="D405" s="66">
        <v>45595.0</v>
      </c>
      <c r="E405" s="67" t="s">
        <v>35</v>
      </c>
      <c r="F405" s="69">
        <v>202402.0</v>
      </c>
      <c r="G405" s="70" t="s">
        <v>290</v>
      </c>
      <c r="H405" s="70" t="s">
        <v>28</v>
      </c>
      <c r="I405" s="71"/>
    </row>
    <row r="406" ht="17.25" customHeight="1">
      <c r="A406" s="61"/>
      <c r="B406" s="63" t="b">
        <v>0</v>
      </c>
      <c r="C406" s="64">
        <v>399.0</v>
      </c>
      <c r="D406" s="66">
        <v>45595.0</v>
      </c>
      <c r="E406" s="67" t="s">
        <v>55</v>
      </c>
      <c r="F406" s="69">
        <v>2000.0</v>
      </c>
      <c r="G406" s="70" t="s">
        <v>33</v>
      </c>
      <c r="H406" s="70" t="s">
        <v>28</v>
      </c>
      <c r="I406" s="71"/>
    </row>
    <row r="407" ht="17.25" customHeight="1">
      <c r="A407" s="61"/>
      <c r="B407" s="63" t="b">
        <v>0</v>
      </c>
      <c r="C407" s="64">
        <v>400.0</v>
      </c>
      <c r="D407" s="66">
        <v>45598.0</v>
      </c>
      <c r="E407" s="67" t="s">
        <v>55</v>
      </c>
      <c r="F407" s="69">
        <v>2500.0</v>
      </c>
      <c r="G407" s="70" t="s">
        <v>33</v>
      </c>
      <c r="H407" s="70" t="s">
        <v>28</v>
      </c>
      <c r="I407" s="71"/>
    </row>
    <row r="408" ht="17.25" customHeight="1">
      <c r="A408" s="61"/>
      <c r="B408" s="63" t="b">
        <v>0</v>
      </c>
      <c r="C408" s="64">
        <v>401.0</v>
      </c>
      <c r="D408" s="66">
        <v>45598.0</v>
      </c>
      <c r="E408" s="67" t="s">
        <v>55</v>
      </c>
      <c r="F408" s="69">
        <v>13000.0</v>
      </c>
      <c r="G408" s="70" t="s">
        <v>103</v>
      </c>
      <c r="H408" s="70" t="s">
        <v>28</v>
      </c>
      <c r="I408" s="71"/>
    </row>
    <row r="409" ht="17.25" customHeight="1">
      <c r="A409" s="61"/>
      <c r="B409" s="63" t="b">
        <v>0</v>
      </c>
      <c r="C409" s="64">
        <v>402.0</v>
      </c>
      <c r="D409" s="66">
        <v>45599.0</v>
      </c>
      <c r="E409" s="67" t="s">
        <v>64</v>
      </c>
      <c r="F409" s="69">
        <v>225000.0</v>
      </c>
      <c r="G409" s="70" t="s">
        <v>291</v>
      </c>
      <c r="H409" s="70" t="s">
        <v>28</v>
      </c>
      <c r="I409" s="71"/>
    </row>
    <row r="410" ht="17.25" customHeight="1">
      <c r="A410" s="61"/>
      <c r="B410" s="63" t="b">
        <v>0</v>
      </c>
      <c r="C410" s="64">
        <v>403.0</v>
      </c>
      <c r="D410" s="66">
        <v>45599.0</v>
      </c>
      <c r="E410" s="67" t="s">
        <v>64</v>
      </c>
      <c r="F410" s="69">
        <v>58000.0</v>
      </c>
      <c r="G410" s="70" t="s">
        <v>128</v>
      </c>
      <c r="H410" s="70" t="s">
        <v>28</v>
      </c>
      <c r="I410" s="71"/>
    </row>
    <row r="411" ht="17.25" customHeight="1">
      <c r="A411" s="61"/>
      <c r="B411" s="63" t="b">
        <v>0</v>
      </c>
      <c r="C411" s="64">
        <v>404.0</v>
      </c>
      <c r="D411" s="66">
        <v>45599.0</v>
      </c>
      <c r="E411" s="67" t="s">
        <v>59</v>
      </c>
      <c r="F411" s="69">
        <v>2000.0</v>
      </c>
      <c r="G411" s="70" t="s">
        <v>61</v>
      </c>
      <c r="H411" s="70" t="s">
        <v>28</v>
      </c>
      <c r="I411" s="71"/>
    </row>
    <row r="412" ht="17.25" customHeight="1">
      <c r="A412" s="61"/>
      <c r="B412" s="63" t="b">
        <v>0</v>
      </c>
      <c r="C412" s="64">
        <v>405.0</v>
      </c>
      <c r="D412" s="66">
        <v>45599.0</v>
      </c>
      <c r="E412" s="67" t="s">
        <v>55</v>
      </c>
      <c r="F412" s="69">
        <v>2000.0</v>
      </c>
      <c r="G412" s="70" t="s">
        <v>33</v>
      </c>
      <c r="H412" s="70" t="s">
        <v>28</v>
      </c>
      <c r="I412" s="71"/>
    </row>
    <row r="413" ht="17.25" customHeight="1">
      <c r="A413" s="61"/>
      <c r="B413" s="63" t="b">
        <v>0</v>
      </c>
      <c r="C413" s="64">
        <v>406.0</v>
      </c>
      <c r="D413" s="66">
        <v>45599.0</v>
      </c>
      <c r="E413" s="67" t="s">
        <v>25</v>
      </c>
      <c r="F413" s="69">
        <v>16500.0</v>
      </c>
      <c r="G413" s="70" t="s">
        <v>45</v>
      </c>
      <c r="H413" s="70" t="s">
        <v>28</v>
      </c>
      <c r="I413" s="71"/>
    </row>
    <row r="414" ht="17.25" customHeight="1">
      <c r="A414" s="61"/>
      <c r="B414" s="63" t="b">
        <v>0</v>
      </c>
      <c r="C414" s="64">
        <v>407.0</v>
      </c>
      <c r="D414" s="66">
        <v>45600.0</v>
      </c>
      <c r="E414" s="67" t="s">
        <v>55</v>
      </c>
      <c r="F414" s="69">
        <v>2500.0</v>
      </c>
      <c r="G414" s="70" t="s">
        <v>33</v>
      </c>
      <c r="H414" s="70" t="s">
        <v>28</v>
      </c>
      <c r="I414" s="71"/>
    </row>
    <row r="415" ht="17.25" customHeight="1">
      <c r="A415" s="61"/>
      <c r="B415" s="63" t="b">
        <v>0</v>
      </c>
      <c r="C415" s="64">
        <v>408.0</v>
      </c>
      <c r="D415" s="66">
        <v>45601.0</v>
      </c>
      <c r="E415" s="67" t="s">
        <v>55</v>
      </c>
      <c r="F415" s="69">
        <v>5000.0</v>
      </c>
      <c r="G415" s="70" t="s">
        <v>33</v>
      </c>
      <c r="H415" s="70" t="s">
        <v>28</v>
      </c>
      <c r="I415" s="71"/>
    </row>
    <row r="416" ht="17.25" customHeight="1">
      <c r="A416" s="61"/>
      <c r="B416" s="63" t="b">
        <v>0</v>
      </c>
      <c r="C416" s="64">
        <v>409.0</v>
      </c>
      <c r="D416" s="66">
        <v>45601.0</v>
      </c>
      <c r="E416" s="67" t="s">
        <v>35</v>
      </c>
      <c r="F416" s="69">
        <v>202018.0</v>
      </c>
      <c r="G416" s="70" t="s">
        <v>36</v>
      </c>
      <c r="H416" s="70" t="s">
        <v>28</v>
      </c>
      <c r="I416" s="71"/>
    </row>
    <row r="417" ht="17.25" customHeight="1">
      <c r="A417" s="61"/>
      <c r="B417" s="63" t="b">
        <v>0</v>
      </c>
      <c r="C417" s="64">
        <v>410.0</v>
      </c>
      <c r="D417" s="66">
        <v>45602.0</v>
      </c>
      <c r="E417" s="67" t="s">
        <v>55</v>
      </c>
      <c r="F417" s="69">
        <v>16000.0</v>
      </c>
      <c r="G417" s="70" t="s">
        <v>166</v>
      </c>
      <c r="H417" s="70" t="s">
        <v>28</v>
      </c>
      <c r="I417" s="71"/>
    </row>
    <row r="418" ht="17.25" customHeight="1">
      <c r="A418" s="61"/>
      <c r="B418" s="63" t="b">
        <v>0</v>
      </c>
      <c r="C418" s="64">
        <v>411.0</v>
      </c>
      <c r="D418" s="66">
        <v>45602.0</v>
      </c>
      <c r="E418" s="67" t="s">
        <v>55</v>
      </c>
      <c r="F418" s="69">
        <v>50000.0</v>
      </c>
      <c r="G418" s="70" t="s">
        <v>215</v>
      </c>
      <c r="H418" s="70" t="s">
        <v>28</v>
      </c>
      <c r="I418" s="71"/>
    </row>
    <row r="419" ht="17.25" customHeight="1">
      <c r="A419" s="61"/>
      <c r="B419" s="63" t="b">
        <v>0</v>
      </c>
      <c r="C419" s="64">
        <v>412.0</v>
      </c>
      <c r="D419" s="66">
        <v>45602.0</v>
      </c>
      <c r="E419" s="67" t="s">
        <v>55</v>
      </c>
      <c r="F419" s="69">
        <v>2500.0</v>
      </c>
      <c r="G419" s="70" t="s">
        <v>33</v>
      </c>
      <c r="H419" s="70" t="s">
        <v>28</v>
      </c>
      <c r="I419" s="71"/>
    </row>
    <row r="420" ht="17.25" customHeight="1">
      <c r="A420" s="61"/>
      <c r="B420" s="63" t="b">
        <v>0</v>
      </c>
      <c r="C420" s="64">
        <v>413.0</v>
      </c>
      <c r="D420" s="66">
        <v>45602.0</v>
      </c>
      <c r="E420" s="67" t="s">
        <v>55</v>
      </c>
      <c r="F420" s="69">
        <v>10000.0</v>
      </c>
      <c r="G420" s="70" t="s">
        <v>294</v>
      </c>
      <c r="H420" s="70" t="s">
        <v>28</v>
      </c>
      <c r="I420" s="71"/>
    </row>
    <row r="421" ht="17.25" customHeight="1">
      <c r="A421" s="61"/>
      <c r="B421" s="63" t="b">
        <v>0</v>
      </c>
      <c r="C421" s="64">
        <v>414.0</v>
      </c>
      <c r="D421" s="66">
        <v>45603.0</v>
      </c>
      <c r="E421" s="67" t="s">
        <v>55</v>
      </c>
      <c r="F421" s="69">
        <v>2500.0</v>
      </c>
      <c r="G421" s="70" t="s">
        <v>33</v>
      </c>
      <c r="H421" s="70" t="s">
        <v>28</v>
      </c>
      <c r="I421" s="71"/>
    </row>
    <row r="422" ht="17.25" customHeight="1">
      <c r="A422" s="61"/>
      <c r="B422" s="63" t="b">
        <v>0</v>
      </c>
      <c r="C422" s="64">
        <v>415.0</v>
      </c>
      <c r="D422" s="66">
        <v>45603.0</v>
      </c>
      <c r="E422" s="67" t="s">
        <v>68</v>
      </c>
      <c r="F422" s="69">
        <v>900000.0</v>
      </c>
      <c r="G422" s="70" t="s">
        <v>88</v>
      </c>
      <c r="H422" s="70" t="s">
        <v>28</v>
      </c>
      <c r="I422" s="71"/>
    </row>
    <row r="423" ht="17.25" customHeight="1">
      <c r="A423" s="61"/>
      <c r="B423" s="63" t="b">
        <v>0</v>
      </c>
      <c r="C423" s="64">
        <v>416.0</v>
      </c>
      <c r="D423" s="66">
        <v>45605.0</v>
      </c>
      <c r="E423" s="67" t="s">
        <v>55</v>
      </c>
      <c r="F423" s="69">
        <v>2500.0</v>
      </c>
      <c r="G423" s="70" t="s">
        <v>33</v>
      </c>
      <c r="H423" s="70" t="s">
        <v>28</v>
      </c>
      <c r="I423" s="71"/>
    </row>
    <row r="424" ht="17.25" customHeight="1">
      <c r="A424" s="61"/>
      <c r="B424" s="63" t="b">
        <v>0</v>
      </c>
      <c r="C424" s="64">
        <v>417.0</v>
      </c>
      <c r="D424" s="66">
        <v>45606.0</v>
      </c>
      <c r="E424" s="67" t="s">
        <v>55</v>
      </c>
      <c r="F424" s="69">
        <v>2500.0</v>
      </c>
      <c r="G424" s="70" t="s">
        <v>33</v>
      </c>
      <c r="H424" s="70" t="s">
        <v>28</v>
      </c>
      <c r="I424" s="71"/>
    </row>
    <row r="425" ht="17.25" customHeight="1">
      <c r="A425" s="61"/>
      <c r="B425" s="63" t="b">
        <v>0</v>
      </c>
      <c r="C425" s="64">
        <v>418.0</v>
      </c>
      <c r="D425" s="66">
        <v>45606.0</v>
      </c>
      <c r="E425" s="67" t="s">
        <v>55</v>
      </c>
      <c r="F425" s="69">
        <v>16500.0</v>
      </c>
      <c r="G425" s="70" t="s">
        <v>273</v>
      </c>
      <c r="H425" s="70" t="s">
        <v>28</v>
      </c>
      <c r="I425" s="71"/>
    </row>
    <row r="426" ht="17.25" customHeight="1">
      <c r="A426" s="61"/>
      <c r="B426" s="63" t="b">
        <v>0</v>
      </c>
      <c r="C426" s="64">
        <v>419.0</v>
      </c>
      <c r="D426" s="66">
        <v>45607.0</v>
      </c>
      <c r="E426" s="67" t="s">
        <v>55</v>
      </c>
      <c r="F426" s="69">
        <v>2000.0</v>
      </c>
      <c r="G426" s="70" t="s">
        <v>33</v>
      </c>
      <c r="H426" s="70" t="s">
        <v>28</v>
      </c>
      <c r="I426" s="71"/>
    </row>
    <row r="427" ht="17.25" customHeight="1">
      <c r="A427" s="61"/>
      <c r="B427" s="63" t="b">
        <v>0</v>
      </c>
      <c r="C427" s="64">
        <v>420.0</v>
      </c>
      <c r="D427" s="66">
        <v>45607.0</v>
      </c>
      <c r="E427" s="67" t="s">
        <v>105</v>
      </c>
      <c r="F427" s="69">
        <v>16500.0</v>
      </c>
      <c r="G427" s="70" t="s">
        <v>106</v>
      </c>
      <c r="H427" s="70" t="s">
        <v>28</v>
      </c>
      <c r="I427" s="71"/>
    </row>
    <row r="428" ht="17.25" customHeight="1">
      <c r="A428" s="61"/>
      <c r="B428" s="63" t="b">
        <v>0</v>
      </c>
      <c r="C428" s="64">
        <v>421.0</v>
      </c>
      <c r="D428" s="66">
        <v>45608.0</v>
      </c>
      <c r="E428" s="67" t="s">
        <v>55</v>
      </c>
      <c r="F428" s="69">
        <v>4000.0</v>
      </c>
      <c r="G428" s="70" t="s">
        <v>33</v>
      </c>
      <c r="H428" s="70" t="s">
        <v>28</v>
      </c>
      <c r="I428" s="71"/>
    </row>
    <row r="429" ht="17.25" customHeight="1">
      <c r="A429" s="61"/>
      <c r="B429" s="63" t="b">
        <v>0</v>
      </c>
      <c r="C429" s="64">
        <v>422.0</v>
      </c>
      <c r="D429" s="66">
        <v>45608.0</v>
      </c>
      <c r="E429" s="67" t="s">
        <v>35</v>
      </c>
      <c r="F429" s="69">
        <v>202405.0</v>
      </c>
      <c r="G429" s="70" t="s">
        <v>220</v>
      </c>
      <c r="H429" s="70" t="s">
        <v>28</v>
      </c>
      <c r="I429" s="71"/>
    </row>
    <row r="430" ht="17.25" customHeight="1">
      <c r="A430" s="61"/>
      <c r="B430" s="63" t="b">
        <v>0</v>
      </c>
      <c r="C430" s="64">
        <v>423.0</v>
      </c>
      <c r="D430" s="66">
        <v>45609.0</v>
      </c>
      <c r="E430" s="67" t="s">
        <v>55</v>
      </c>
      <c r="F430" s="69">
        <v>2500.0</v>
      </c>
      <c r="G430" s="70" t="s">
        <v>33</v>
      </c>
      <c r="H430" s="70" t="s">
        <v>28</v>
      </c>
      <c r="I430" s="71"/>
    </row>
    <row r="431" ht="17.25" customHeight="1">
      <c r="A431" s="61"/>
      <c r="B431" s="63" t="b">
        <v>0</v>
      </c>
      <c r="C431" s="64">
        <v>424.0</v>
      </c>
      <c r="D431" s="66">
        <v>45609.0</v>
      </c>
      <c r="E431" s="67" t="s">
        <v>55</v>
      </c>
      <c r="F431" s="69">
        <v>33000.0</v>
      </c>
      <c r="G431" s="70" t="s">
        <v>259</v>
      </c>
      <c r="H431" s="70" t="s">
        <v>28</v>
      </c>
      <c r="I431" s="71"/>
    </row>
    <row r="432" ht="17.25" customHeight="1">
      <c r="A432" s="61"/>
      <c r="B432" s="63" t="b">
        <v>0</v>
      </c>
      <c r="C432" s="64">
        <v>425.0</v>
      </c>
      <c r="D432" s="66">
        <v>45609.0</v>
      </c>
      <c r="E432" s="67" t="s">
        <v>55</v>
      </c>
      <c r="F432" s="69">
        <v>13000.0</v>
      </c>
      <c r="G432" s="70" t="s">
        <v>103</v>
      </c>
      <c r="H432" s="70" t="s">
        <v>28</v>
      </c>
      <c r="I432" s="71"/>
    </row>
    <row r="433" ht="17.25" customHeight="1">
      <c r="A433" s="61"/>
      <c r="B433" s="63" t="b">
        <v>0</v>
      </c>
      <c r="C433" s="64">
        <v>426.0</v>
      </c>
      <c r="D433" s="66">
        <v>45610.0</v>
      </c>
      <c r="E433" s="67" t="s">
        <v>55</v>
      </c>
      <c r="F433" s="69">
        <v>10000.0</v>
      </c>
      <c r="G433" s="70" t="s">
        <v>296</v>
      </c>
      <c r="H433" s="70" t="s">
        <v>28</v>
      </c>
      <c r="I433" s="71"/>
    </row>
    <row r="434" ht="17.25" customHeight="1">
      <c r="A434" s="61"/>
      <c r="B434" s="63" t="b">
        <v>0</v>
      </c>
      <c r="C434" s="64">
        <v>427.0</v>
      </c>
      <c r="D434" s="66">
        <v>45610.0</v>
      </c>
      <c r="E434" s="67" t="s">
        <v>55</v>
      </c>
      <c r="F434" s="69">
        <v>4000.0</v>
      </c>
      <c r="G434" s="70" t="s">
        <v>33</v>
      </c>
      <c r="H434" s="70" t="s">
        <v>28</v>
      </c>
      <c r="I434" s="71"/>
    </row>
    <row r="435" ht="17.25" customHeight="1">
      <c r="A435" s="61"/>
      <c r="B435" s="63" t="b">
        <v>0</v>
      </c>
      <c r="C435" s="64">
        <v>428.0</v>
      </c>
      <c r="D435" s="66">
        <v>45612.0</v>
      </c>
      <c r="E435" s="67" t="s">
        <v>55</v>
      </c>
      <c r="F435" s="69">
        <v>2000.0</v>
      </c>
      <c r="G435" s="70" t="s">
        <v>33</v>
      </c>
      <c r="H435" s="70" t="s">
        <v>28</v>
      </c>
      <c r="I435" s="71"/>
    </row>
    <row r="436" ht="17.25" customHeight="1">
      <c r="A436" s="61"/>
      <c r="B436" s="63" t="b">
        <v>0</v>
      </c>
      <c r="C436" s="64">
        <v>429.0</v>
      </c>
      <c r="D436" s="66">
        <v>45612.0</v>
      </c>
      <c r="E436" s="67" t="s">
        <v>25</v>
      </c>
      <c r="F436" s="69">
        <v>33600.0</v>
      </c>
      <c r="G436" s="70" t="s">
        <v>30</v>
      </c>
      <c r="H436" s="70" t="s">
        <v>28</v>
      </c>
      <c r="I436" s="71"/>
    </row>
    <row r="437" ht="17.25" customHeight="1">
      <c r="A437" s="61"/>
      <c r="B437" s="63" t="b">
        <v>0</v>
      </c>
      <c r="C437" s="64">
        <v>430.0</v>
      </c>
      <c r="D437" s="66">
        <v>45612.0</v>
      </c>
      <c r="E437" s="67" t="s">
        <v>25</v>
      </c>
      <c r="F437" s="69">
        <v>26000.0</v>
      </c>
      <c r="G437" s="70" t="s">
        <v>26</v>
      </c>
      <c r="H437" s="70" t="s">
        <v>28</v>
      </c>
      <c r="I437" s="71"/>
    </row>
    <row r="438" ht="17.25" customHeight="1">
      <c r="A438" s="61"/>
      <c r="B438" s="63" t="b">
        <v>0</v>
      </c>
      <c r="C438" s="64">
        <v>431.0</v>
      </c>
      <c r="D438" s="66">
        <v>45612.0</v>
      </c>
      <c r="E438" s="67" t="s">
        <v>25</v>
      </c>
      <c r="F438" s="69">
        <v>11000.0</v>
      </c>
      <c r="G438" s="70" t="s">
        <v>298</v>
      </c>
      <c r="H438" s="70" t="s">
        <v>28</v>
      </c>
      <c r="I438" s="71"/>
    </row>
    <row r="439" ht="17.25" customHeight="1">
      <c r="A439" s="61"/>
      <c r="B439" s="63" t="b">
        <v>0</v>
      </c>
      <c r="C439" s="64">
        <v>432.0</v>
      </c>
      <c r="D439" s="66">
        <v>45613.0</v>
      </c>
      <c r="E439" s="67" t="s">
        <v>55</v>
      </c>
      <c r="F439" s="69">
        <v>2500.0</v>
      </c>
      <c r="G439" s="70" t="s">
        <v>33</v>
      </c>
      <c r="H439" s="70" t="s">
        <v>28</v>
      </c>
      <c r="I439" s="71"/>
    </row>
    <row r="440" ht="17.25" customHeight="1">
      <c r="A440" s="61"/>
      <c r="B440" s="63" t="b">
        <v>0</v>
      </c>
      <c r="C440" s="64">
        <v>433.0</v>
      </c>
      <c r="D440" s="66">
        <v>45614.0</v>
      </c>
      <c r="E440" s="67" t="s">
        <v>55</v>
      </c>
      <c r="F440" s="69">
        <v>2000.0</v>
      </c>
      <c r="G440" s="70" t="s">
        <v>33</v>
      </c>
      <c r="H440" s="70" t="s">
        <v>28</v>
      </c>
      <c r="I440" s="71"/>
    </row>
    <row r="441" ht="17.25" customHeight="1">
      <c r="A441" s="61"/>
      <c r="B441" s="63" t="b">
        <v>0</v>
      </c>
      <c r="C441" s="64">
        <v>434.0</v>
      </c>
      <c r="D441" s="66">
        <v>45615.0</v>
      </c>
      <c r="E441" s="67" t="s">
        <v>35</v>
      </c>
      <c r="F441" s="69">
        <v>202403.0</v>
      </c>
      <c r="G441" s="70" t="s">
        <v>36</v>
      </c>
      <c r="H441" s="70" t="s">
        <v>28</v>
      </c>
      <c r="I441" s="71"/>
    </row>
    <row r="442" ht="17.25" customHeight="1">
      <c r="A442" s="61"/>
      <c r="B442" s="63" t="b">
        <v>0</v>
      </c>
      <c r="C442" s="64">
        <v>435.0</v>
      </c>
      <c r="D442" s="66">
        <v>45615.0</v>
      </c>
      <c r="E442" s="67" t="s">
        <v>55</v>
      </c>
      <c r="F442" s="69">
        <v>2500.0</v>
      </c>
      <c r="G442" s="70" t="s">
        <v>33</v>
      </c>
      <c r="H442" s="70" t="s">
        <v>28</v>
      </c>
      <c r="I442" s="71"/>
    </row>
    <row r="443" ht="17.25" customHeight="1">
      <c r="A443" s="61"/>
      <c r="B443" s="63" t="b">
        <v>0</v>
      </c>
      <c r="C443" s="64">
        <v>436.0</v>
      </c>
      <c r="D443" s="66">
        <v>45616.0</v>
      </c>
      <c r="E443" s="67" t="s">
        <v>55</v>
      </c>
      <c r="F443" s="69">
        <v>2000.0</v>
      </c>
      <c r="G443" s="70" t="s">
        <v>33</v>
      </c>
      <c r="H443" s="70" t="s">
        <v>28</v>
      </c>
      <c r="I443" s="71"/>
    </row>
    <row r="444" ht="17.25" customHeight="1">
      <c r="A444" s="61"/>
      <c r="B444" s="63" t="b">
        <v>0</v>
      </c>
      <c r="C444" s="64">
        <v>437.0</v>
      </c>
      <c r="D444" s="66">
        <v>45617.0</v>
      </c>
      <c r="E444" s="67" t="s">
        <v>55</v>
      </c>
      <c r="F444" s="69">
        <v>2000.0</v>
      </c>
      <c r="G444" s="70" t="s">
        <v>33</v>
      </c>
      <c r="H444" s="70" t="s">
        <v>28</v>
      </c>
      <c r="I444" s="71"/>
    </row>
    <row r="445" ht="17.25" customHeight="1">
      <c r="A445" s="61"/>
      <c r="B445" s="63" t="b">
        <v>0</v>
      </c>
      <c r="C445" s="64">
        <v>438.0</v>
      </c>
      <c r="D445" s="66">
        <v>45619.0</v>
      </c>
      <c r="E445" s="67" t="s">
        <v>25</v>
      </c>
      <c r="F445" s="69">
        <v>16500.0</v>
      </c>
      <c r="G445" s="70" t="s">
        <v>273</v>
      </c>
      <c r="H445" s="70" t="s">
        <v>28</v>
      </c>
      <c r="I445" s="71"/>
    </row>
    <row r="446" ht="17.25" customHeight="1">
      <c r="A446" s="61"/>
      <c r="B446" s="63" t="b">
        <v>0</v>
      </c>
      <c r="C446" s="64">
        <v>439.0</v>
      </c>
      <c r="D446" s="66">
        <v>45619.0</v>
      </c>
      <c r="E446" s="67" t="s">
        <v>55</v>
      </c>
      <c r="F446" s="69">
        <v>2000.0</v>
      </c>
      <c r="G446" s="70" t="s">
        <v>33</v>
      </c>
      <c r="H446" s="70" t="s">
        <v>28</v>
      </c>
      <c r="I446" s="71"/>
    </row>
    <row r="447" ht="17.25" customHeight="1">
      <c r="A447" s="61"/>
      <c r="B447" s="63" t="b">
        <v>0</v>
      </c>
      <c r="C447" s="64">
        <v>440.0</v>
      </c>
      <c r="D447" s="66">
        <v>45621.0</v>
      </c>
      <c r="E447" s="67" t="s">
        <v>55</v>
      </c>
      <c r="F447" s="69">
        <v>2000.0</v>
      </c>
      <c r="G447" s="70" t="s">
        <v>33</v>
      </c>
      <c r="H447" s="70" t="s">
        <v>28</v>
      </c>
      <c r="I447" s="71"/>
    </row>
    <row r="448" ht="17.25" customHeight="1">
      <c r="A448" s="61"/>
      <c r="B448" s="63" t="b">
        <v>0</v>
      </c>
      <c r="C448" s="64">
        <v>441.0</v>
      </c>
      <c r="D448" s="66">
        <v>45621.0</v>
      </c>
      <c r="E448" s="67" t="s">
        <v>86</v>
      </c>
      <c r="F448" s="69">
        <v>20000.0</v>
      </c>
      <c r="G448" s="70" t="s">
        <v>301</v>
      </c>
      <c r="H448" s="70" t="s">
        <v>28</v>
      </c>
      <c r="I448" s="71"/>
    </row>
    <row r="449" ht="17.25" customHeight="1">
      <c r="A449" s="61"/>
      <c r="B449" s="63" t="b">
        <v>0</v>
      </c>
      <c r="C449" s="64">
        <v>442.0</v>
      </c>
      <c r="D449" s="66">
        <v>45622.0</v>
      </c>
      <c r="E449" s="67" t="s">
        <v>55</v>
      </c>
      <c r="F449" s="69">
        <v>2000.0</v>
      </c>
      <c r="G449" s="70" t="s">
        <v>33</v>
      </c>
      <c r="H449" s="70" t="s">
        <v>28</v>
      </c>
      <c r="I449" s="71"/>
    </row>
    <row r="450" ht="17.25" customHeight="1">
      <c r="A450" s="61"/>
      <c r="B450" s="63" t="b">
        <v>0</v>
      </c>
      <c r="C450" s="64">
        <v>443.0</v>
      </c>
      <c r="D450" s="66">
        <v>45623.0</v>
      </c>
      <c r="E450" s="67" t="s">
        <v>179</v>
      </c>
      <c r="F450" s="69">
        <v>1.062E7</v>
      </c>
      <c r="G450" s="70"/>
      <c r="H450" s="70" t="s">
        <v>63</v>
      </c>
      <c r="I450" s="71"/>
    </row>
    <row r="451" ht="17.25" customHeight="1">
      <c r="A451" s="61"/>
      <c r="B451" s="63" t="b">
        <v>0</v>
      </c>
      <c r="C451" s="64">
        <v>444.0</v>
      </c>
      <c r="D451" s="66">
        <v>45623.0</v>
      </c>
      <c r="E451" s="67" t="s">
        <v>35</v>
      </c>
      <c r="F451" s="69">
        <v>202407.0</v>
      </c>
      <c r="G451" s="70" t="s">
        <v>36</v>
      </c>
      <c r="H451" s="70" t="s">
        <v>28</v>
      </c>
      <c r="I451" s="71"/>
    </row>
    <row r="452" ht="17.25" customHeight="1">
      <c r="A452" s="61"/>
      <c r="B452" s="63" t="b">
        <v>0</v>
      </c>
      <c r="C452" s="64">
        <v>445.0</v>
      </c>
      <c r="D452" s="66">
        <v>45623.0</v>
      </c>
      <c r="E452" s="67" t="s">
        <v>55</v>
      </c>
      <c r="F452" s="69">
        <v>2500.0</v>
      </c>
      <c r="G452" s="70" t="s">
        <v>33</v>
      </c>
      <c r="H452" s="70" t="s">
        <v>28</v>
      </c>
      <c r="I452" s="71"/>
    </row>
    <row r="453" ht="17.25" customHeight="1">
      <c r="A453" s="61"/>
      <c r="B453" s="63" t="b">
        <v>0</v>
      </c>
      <c r="C453" s="64">
        <v>446.0</v>
      </c>
      <c r="D453" s="66">
        <v>45624.0</v>
      </c>
      <c r="E453" s="67" t="s">
        <v>55</v>
      </c>
      <c r="F453" s="69">
        <v>2500.0</v>
      </c>
      <c r="G453" s="70" t="s">
        <v>33</v>
      </c>
      <c r="H453" s="70" t="s">
        <v>28</v>
      </c>
      <c r="I453" s="71"/>
    </row>
    <row r="454" ht="17.25" customHeight="1">
      <c r="A454" s="61"/>
      <c r="B454" s="63" t="b">
        <v>0</v>
      </c>
      <c r="C454" s="64">
        <v>447.0</v>
      </c>
      <c r="D454" s="66">
        <v>45624.0</v>
      </c>
      <c r="E454" s="67" t="s">
        <v>105</v>
      </c>
      <c r="F454" s="69">
        <v>32000.0</v>
      </c>
      <c r="G454" s="70" t="s">
        <v>106</v>
      </c>
      <c r="H454" s="70" t="s">
        <v>28</v>
      </c>
      <c r="I454" s="71"/>
    </row>
    <row r="455" ht="17.25" customHeight="1">
      <c r="A455" s="61"/>
      <c r="B455" s="63" t="b">
        <v>0</v>
      </c>
      <c r="C455" s="64">
        <v>448.0</v>
      </c>
      <c r="D455" s="66">
        <v>45626.0</v>
      </c>
      <c r="E455" s="67" t="s">
        <v>25</v>
      </c>
      <c r="F455" s="69">
        <v>16500.0</v>
      </c>
      <c r="G455" s="70" t="s">
        <v>273</v>
      </c>
      <c r="H455" s="70" t="s">
        <v>28</v>
      </c>
      <c r="I455" s="71"/>
    </row>
    <row r="456" ht="17.25" customHeight="1">
      <c r="A456" s="61"/>
      <c r="B456" s="63" t="b">
        <v>0</v>
      </c>
      <c r="C456" s="64">
        <v>449.0</v>
      </c>
      <c r="D456" s="66">
        <v>45626.0</v>
      </c>
      <c r="E456" s="67" t="s">
        <v>179</v>
      </c>
      <c r="F456" s="69">
        <v>200000.0</v>
      </c>
      <c r="G456" s="70" t="s">
        <v>253</v>
      </c>
      <c r="H456" s="70" t="s">
        <v>28</v>
      </c>
      <c r="I456" s="71"/>
    </row>
    <row r="457" ht="17.25" customHeight="1">
      <c r="A457" s="61"/>
      <c r="B457" s="63" t="b">
        <v>0</v>
      </c>
      <c r="C457" s="64">
        <v>450.0</v>
      </c>
      <c r="D457" s="66">
        <v>45627.0</v>
      </c>
      <c r="E457" s="67" t="s">
        <v>55</v>
      </c>
      <c r="F457" s="69">
        <v>2500.0</v>
      </c>
      <c r="G457" s="70" t="s">
        <v>33</v>
      </c>
      <c r="H457" s="70" t="s">
        <v>28</v>
      </c>
      <c r="I457" s="71"/>
    </row>
    <row r="458" ht="17.25" customHeight="1">
      <c r="A458" s="61"/>
      <c r="B458" s="63" t="b">
        <v>0</v>
      </c>
      <c r="C458" s="64">
        <v>451.0</v>
      </c>
      <c r="D458" s="66">
        <v>45628.0</v>
      </c>
      <c r="E458" s="67" t="s">
        <v>55</v>
      </c>
      <c r="F458" s="69">
        <v>2500.0</v>
      </c>
      <c r="G458" s="70" t="s">
        <v>33</v>
      </c>
      <c r="H458" s="70" t="s">
        <v>28</v>
      </c>
      <c r="I458" s="71"/>
    </row>
    <row r="459" ht="17.25" customHeight="1">
      <c r="A459" s="61"/>
      <c r="B459" s="63" t="b">
        <v>0</v>
      </c>
      <c r="C459" s="64">
        <v>452.0</v>
      </c>
      <c r="D459" s="66">
        <v>45629.0</v>
      </c>
      <c r="E459" s="67" t="s">
        <v>55</v>
      </c>
      <c r="F459" s="69">
        <v>2500.0</v>
      </c>
      <c r="G459" s="70" t="s">
        <v>33</v>
      </c>
      <c r="H459" s="70" t="s">
        <v>28</v>
      </c>
      <c r="I459" s="71"/>
    </row>
    <row r="460" ht="17.25" customHeight="1">
      <c r="A460" s="61"/>
      <c r="B460" s="63" t="b">
        <v>0</v>
      </c>
      <c r="C460" s="64">
        <v>453.0</v>
      </c>
      <c r="D460" s="66">
        <v>45630.0</v>
      </c>
      <c r="E460" s="67" t="s">
        <v>55</v>
      </c>
      <c r="F460" s="69">
        <v>15000.0</v>
      </c>
      <c r="G460" s="70" t="s">
        <v>176</v>
      </c>
      <c r="H460" s="70" t="s">
        <v>28</v>
      </c>
      <c r="I460" s="71"/>
    </row>
    <row r="461" ht="17.25" customHeight="1">
      <c r="A461" s="61"/>
      <c r="B461" s="63" t="b">
        <v>0</v>
      </c>
      <c r="C461" s="64">
        <v>454.0</v>
      </c>
      <c r="D461" s="66">
        <v>45630.0</v>
      </c>
      <c r="E461" s="67" t="s">
        <v>55</v>
      </c>
      <c r="F461" s="69">
        <v>10000.0</v>
      </c>
      <c r="G461" s="70" t="s">
        <v>303</v>
      </c>
      <c r="H461" s="70" t="s">
        <v>28</v>
      </c>
      <c r="I461" s="71"/>
    </row>
    <row r="462" ht="17.25" customHeight="1">
      <c r="A462" s="61"/>
      <c r="B462" s="63" t="b">
        <v>0</v>
      </c>
      <c r="C462" s="64">
        <v>455.0</v>
      </c>
      <c r="D462" s="66">
        <v>45630.0</v>
      </c>
      <c r="E462" s="67" t="s">
        <v>55</v>
      </c>
      <c r="F462" s="69">
        <v>2500.0</v>
      </c>
      <c r="G462" s="70" t="s">
        <v>33</v>
      </c>
      <c r="H462" s="70" t="s">
        <v>28</v>
      </c>
      <c r="I462" s="71"/>
    </row>
    <row r="463" ht="17.25" customHeight="1">
      <c r="A463" s="61"/>
      <c r="B463" s="63" t="b">
        <v>0</v>
      </c>
      <c r="C463" s="64">
        <v>456.0</v>
      </c>
      <c r="D463" s="66">
        <v>45630.0</v>
      </c>
      <c r="E463" s="67" t="s">
        <v>35</v>
      </c>
      <c r="F463" s="69">
        <v>202400.0</v>
      </c>
      <c r="G463" s="70" t="s">
        <v>220</v>
      </c>
      <c r="H463" s="70" t="s">
        <v>28</v>
      </c>
      <c r="I463" s="71"/>
    </row>
    <row r="464" ht="17.25" customHeight="1">
      <c r="A464" s="61"/>
      <c r="B464" s="63" t="b">
        <v>0</v>
      </c>
      <c r="C464" s="64">
        <v>457.0</v>
      </c>
      <c r="D464" s="66">
        <v>45630.0</v>
      </c>
      <c r="E464" s="67" t="s">
        <v>138</v>
      </c>
      <c r="F464" s="69">
        <v>15000.0</v>
      </c>
      <c r="G464" s="70" t="s">
        <v>305</v>
      </c>
      <c r="H464" s="70" t="s">
        <v>28</v>
      </c>
      <c r="I464" s="71"/>
    </row>
    <row r="465" ht="17.25" customHeight="1">
      <c r="A465" s="61"/>
      <c r="B465" s="63" t="b">
        <v>0</v>
      </c>
      <c r="C465" s="64">
        <v>458.0</v>
      </c>
      <c r="D465" s="66">
        <v>45631.0</v>
      </c>
      <c r="E465" s="67" t="s">
        <v>25</v>
      </c>
      <c r="F465" s="69">
        <v>11000.0</v>
      </c>
      <c r="G465" s="70" t="s">
        <v>306</v>
      </c>
      <c r="H465" s="70" t="s">
        <v>28</v>
      </c>
      <c r="I465" s="71"/>
    </row>
    <row r="466" ht="17.25" customHeight="1">
      <c r="A466" s="61"/>
      <c r="B466" s="63" t="b">
        <v>0</v>
      </c>
      <c r="C466" s="64">
        <v>459.0</v>
      </c>
      <c r="D466" s="66">
        <v>45631.0</v>
      </c>
      <c r="E466" s="67" t="s">
        <v>55</v>
      </c>
      <c r="F466" s="69">
        <v>2500.0</v>
      </c>
      <c r="G466" s="70" t="s">
        <v>33</v>
      </c>
      <c r="H466" s="70" t="s">
        <v>28</v>
      </c>
      <c r="I466" s="71"/>
    </row>
    <row r="467" ht="17.25" customHeight="1">
      <c r="A467" s="61"/>
      <c r="B467" s="63" t="b">
        <v>0</v>
      </c>
      <c r="C467" s="64">
        <v>460.0</v>
      </c>
      <c r="D467" s="66">
        <v>45633.0</v>
      </c>
      <c r="E467" s="67" t="s">
        <v>55</v>
      </c>
      <c r="F467" s="69">
        <v>6500.0</v>
      </c>
      <c r="G467" s="70" t="s">
        <v>33</v>
      </c>
      <c r="H467" s="70" t="s">
        <v>28</v>
      </c>
      <c r="I467" s="71"/>
    </row>
    <row r="468" ht="17.25" customHeight="1">
      <c r="A468" s="61"/>
      <c r="B468" s="63" t="b">
        <v>0</v>
      </c>
      <c r="C468" s="64">
        <v>461.0</v>
      </c>
      <c r="D468" s="66">
        <v>45634.0</v>
      </c>
      <c r="E468" s="67" t="s">
        <v>25</v>
      </c>
      <c r="F468" s="69">
        <v>34000.0</v>
      </c>
      <c r="G468" s="70" t="s">
        <v>26</v>
      </c>
      <c r="H468" s="70" t="s">
        <v>28</v>
      </c>
      <c r="I468" s="71"/>
    </row>
    <row r="469" ht="17.25" customHeight="1">
      <c r="A469" s="61"/>
      <c r="B469" s="63" t="b">
        <v>0</v>
      </c>
      <c r="C469" s="64">
        <v>462.0</v>
      </c>
      <c r="D469" s="66">
        <v>45634.0</v>
      </c>
      <c r="E469" s="67" t="s">
        <v>25</v>
      </c>
      <c r="F469" s="69">
        <v>10000.0</v>
      </c>
      <c r="G469" s="70" t="s">
        <v>141</v>
      </c>
      <c r="H469" s="70" t="s">
        <v>28</v>
      </c>
      <c r="I469" s="71"/>
    </row>
    <row r="470" ht="17.25" customHeight="1">
      <c r="A470" s="61"/>
      <c r="B470" s="63" t="b">
        <v>0</v>
      </c>
      <c r="C470" s="64">
        <v>463.0</v>
      </c>
      <c r="D470" s="66">
        <v>45634.0</v>
      </c>
      <c r="E470" s="67" t="s">
        <v>25</v>
      </c>
      <c r="F470" s="69">
        <v>25500.0</v>
      </c>
      <c r="G470" s="70" t="s">
        <v>30</v>
      </c>
      <c r="H470" s="70" t="s">
        <v>28</v>
      </c>
      <c r="I470" s="71"/>
    </row>
    <row r="471" ht="17.25" customHeight="1">
      <c r="A471" s="61"/>
      <c r="B471" s="63" t="b">
        <v>0</v>
      </c>
      <c r="C471" s="64">
        <v>464.0</v>
      </c>
      <c r="D471" s="66">
        <v>45634.0</v>
      </c>
      <c r="E471" s="67" t="s">
        <v>89</v>
      </c>
      <c r="F471" s="69">
        <v>75000.0</v>
      </c>
      <c r="G471" s="70" t="s">
        <v>308</v>
      </c>
      <c r="H471" s="70" t="s">
        <v>28</v>
      </c>
      <c r="I471" s="71"/>
    </row>
    <row r="472" ht="17.25" customHeight="1">
      <c r="A472" s="61"/>
      <c r="B472" s="63" t="b">
        <v>0</v>
      </c>
      <c r="C472" s="64">
        <v>465.0</v>
      </c>
      <c r="D472" s="66">
        <v>45635.0</v>
      </c>
      <c r="E472" s="67" t="s">
        <v>55</v>
      </c>
      <c r="F472" s="69">
        <v>2500.0</v>
      </c>
      <c r="G472" s="70" t="s">
        <v>309</v>
      </c>
      <c r="H472" s="70" t="s">
        <v>28</v>
      </c>
      <c r="I472" s="71"/>
    </row>
    <row r="473" ht="17.25" customHeight="1">
      <c r="A473" s="61"/>
      <c r="B473" s="63" t="b">
        <v>0</v>
      </c>
      <c r="C473" s="64">
        <v>466.0</v>
      </c>
      <c r="D473" s="66">
        <v>45635.0</v>
      </c>
      <c r="E473" s="67" t="s">
        <v>55</v>
      </c>
      <c r="F473" s="69">
        <v>30000.0</v>
      </c>
      <c r="G473" s="70" t="s">
        <v>310</v>
      </c>
      <c r="H473" s="70" t="s">
        <v>28</v>
      </c>
      <c r="I473" s="71"/>
    </row>
    <row r="474" ht="17.25" customHeight="1">
      <c r="A474" s="61"/>
      <c r="B474" s="63" t="b">
        <v>0</v>
      </c>
      <c r="C474" s="64">
        <v>467.0</v>
      </c>
      <c r="D474" s="66">
        <v>45636.0</v>
      </c>
      <c r="E474" s="67" t="s">
        <v>55</v>
      </c>
      <c r="F474" s="69">
        <v>2500.0</v>
      </c>
      <c r="G474" s="70" t="s">
        <v>33</v>
      </c>
      <c r="H474" s="70" t="s">
        <v>28</v>
      </c>
      <c r="I474" s="71"/>
    </row>
    <row r="475" ht="17.25" customHeight="1">
      <c r="A475" s="61"/>
      <c r="B475" s="63" t="b">
        <v>0</v>
      </c>
      <c r="C475" s="64">
        <v>468.0</v>
      </c>
      <c r="D475" s="66">
        <v>45636.0</v>
      </c>
      <c r="E475" s="67" t="s">
        <v>89</v>
      </c>
      <c r="F475" s="69">
        <v>20000.0</v>
      </c>
      <c r="G475" s="70" t="s">
        <v>311</v>
      </c>
      <c r="H475" s="70" t="s">
        <v>28</v>
      </c>
      <c r="I475" s="71"/>
    </row>
    <row r="476" ht="17.25" customHeight="1">
      <c r="A476" s="61"/>
      <c r="B476" s="63" t="b">
        <v>0</v>
      </c>
      <c r="C476" s="64">
        <v>469.0</v>
      </c>
      <c r="D476" s="66">
        <v>45637.0</v>
      </c>
      <c r="E476" s="67" t="s">
        <v>55</v>
      </c>
      <c r="F476" s="69">
        <v>2500.0</v>
      </c>
      <c r="G476" s="70" t="s">
        <v>33</v>
      </c>
      <c r="H476" s="70" t="s">
        <v>28</v>
      </c>
      <c r="I476" s="71"/>
    </row>
    <row r="477" ht="17.25" customHeight="1">
      <c r="A477" s="61"/>
      <c r="B477" s="63" t="b">
        <v>0</v>
      </c>
      <c r="C477" s="64">
        <v>470.0</v>
      </c>
      <c r="D477" s="66">
        <v>45637.0</v>
      </c>
      <c r="E477" s="67" t="s">
        <v>35</v>
      </c>
      <c r="F477" s="69">
        <v>202400.0</v>
      </c>
      <c r="G477" s="70" t="s">
        <v>313</v>
      </c>
      <c r="H477" s="70" t="s">
        <v>28</v>
      </c>
      <c r="I477" s="71"/>
    </row>
    <row r="478" ht="17.25" customHeight="1">
      <c r="A478" s="61"/>
      <c r="B478" s="63" t="b">
        <v>0</v>
      </c>
      <c r="C478" s="64">
        <v>471.0</v>
      </c>
      <c r="D478" s="66">
        <v>45637.0</v>
      </c>
      <c r="E478" s="67" t="s">
        <v>25</v>
      </c>
      <c r="F478" s="69">
        <v>16500.0</v>
      </c>
      <c r="G478" s="70" t="s">
        <v>306</v>
      </c>
      <c r="H478" s="70" t="s">
        <v>28</v>
      </c>
      <c r="I478" s="71"/>
    </row>
    <row r="479" ht="17.25" customHeight="1">
      <c r="A479" s="61"/>
      <c r="B479" s="63" t="b">
        <v>0</v>
      </c>
      <c r="C479" s="64">
        <v>472.0</v>
      </c>
      <c r="D479" s="66">
        <v>45638.0</v>
      </c>
      <c r="E479" s="67" t="s">
        <v>55</v>
      </c>
      <c r="F479" s="69">
        <v>4500.0</v>
      </c>
      <c r="G479" s="70" t="s">
        <v>33</v>
      </c>
      <c r="H479" s="70" t="s">
        <v>28</v>
      </c>
      <c r="I479" s="71"/>
    </row>
    <row r="480" ht="17.25" customHeight="1">
      <c r="A480" s="61"/>
      <c r="B480" s="63" t="b">
        <v>0</v>
      </c>
      <c r="C480" s="64">
        <v>473.0</v>
      </c>
      <c r="D480" s="66">
        <v>45640.0</v>
      </c>
      <c r="E480" s="67" t="s">
        <v>55</v>
      </c>
      <c r="F480" s="69">
        <v>420000.0</v>
      </c>
      <c r="G480" s="70" t="s">
        <v>315</v>
      </c>
      <c r="H480" s="70" t="s">
        <v>28</v>
      </c>
      <c r="I480" s="71"/>
    </row>
    <row r="481" ht="17.25" customHeight="1">
      <c r="A481" s="61"/>
      <c r="B481" s="63" t="b">
        <v>0</v>
      </c>
      <c r="C481" s="64">
        <v>474.0</v>
      </c>
      <c r="D481" s="66">
        <v>45640.0</v>
      </c>
      <c r="E481" s="67" t="s">
        <v>55</v>
      </c>
      <c r="F481" s="69">
        <v>2000.0</v>
      </c>
      <c r="G481" s="70" t="s">
        <v>33</v>
      </c>
      <c r="H481" s="70" t="s">
        <v>28</v>
      </c>
      <c r="I481" s="71"/>
    </row>
    <row r="482" ht="17.25" customHeight="1">
      <c r="A482" s="61"/>
      <c r="B482" s="63" t="b">
        <v>0</v>
      </c>
      <c r="C482" s="64">
        <v>475.0</v>
      </c>
      <c r="D482" s="66">
        <v>45640.0</v>
      </c>
      <c r="E482" s="67" t="s">
        <v>55</v>
      </c>
      <c r="F482" s="69">
        <v>42000.0</v>
      </c>
      <c r="G482" s="70" t="s">
        <v>310</v>
      </c>
      <c r="H482" s="70" t="s">
        <v>28</v>
      </c>
      <c r="I482" s="71"/>
    </row>
    <row r="483" ht="17.25" customHeight="1">
      <c r="A483" s="61"/>
      <c r="B483" s="63" t="b">
        <v>0</v>
      </c>
      <c r="C483" s="64">
        <v>476.0</v>
      </c>
      <c r="D483" s="66">
        <v>45640.0</v>
      </c>
      <c r="E483" s="67" t="s">
        <v>64</v>
      </c>
      <c r="F483" s="69">
        <v>5000.0</v>
      </c>
      <c r="G483" s="70" t="s">
        <v>316</v>
      </c>
      <c r="H483" s="70" t="s">
        <v>28</v>
      </c>
      <c r="I483" s="71"/>
    </row>
    <row r="484" ht="17.25" customHeight="1">
      <c r="A484" s="61"/>
      <c r="B484" s="63" t="b">
        <v>0</v>
      </c>
      <c r="C484" s="64">
        <v>477.0</v>
      </c>
      <c r="D484" s="66">
        <v>45641.0</v>
      </c>
      <c r="E484" s="67" t="s">
        <v>55</v>
      </c>
      <c r="F484" s="69">
        <v>2500.0</v>
      </c>
      <c r="G484" s="70" t="s">
        <v>33</v>
      </c>
      <c r="H484" s="70" t="s">
        <v>28</v>
      </c>
      <c r="I484" s="71"/>
    </row>
    <row r="485" ht="17.25" customHeight="1">
      <c r="A485" s="61"/>
      <c r="B485" s="63" t="b">
        <v>0</v>
      </c>
      <c r="C485" s="64">
        <v>478.0</v>
      </c>
      <c r="D485" s="66">
        <v>45641.0</v>
      </c>
      <c r="E485" s="67" t="s">
        <v>25</v>
      </c>
      <c r="F485" s="69">
        <v>16500.0</v>
      </c>
      <c r="G485" s="70" t="s">
        <v>306</v>
      </c>
      <c r="H485" s="70" t="s">
        <v>28</v>
      </c>
      <c r="I485" s="71"/>
    </row>
    <row r="486" ht="17.25" customHeight="1">
      <c r="A486" s="61"/>
      <c r="B486" s="63" t="b">
        <v>0</v>
      </c>
      <c r="C486" s="64">
        <v>479.0</v>
      </c>
      <c r="D486" s="66">
        <v>45642.0</v>
      </c>
      <c r="E486" s="67" t="s">
        <v>55</v>
      </c>
      <c r="F486" s="69">
        <v>2500.0</v>
      </c>
      <c r="G486" s="70" t="s">
        <v>219</v>
      </c>
      <c r="H486" s="70" t="s">
        <v>28</v>
      </c>
      <c r="I486" s="71"/>
    </row>
    <row r="487" ht="17.25" customHeight="1">
      <c r="A487" s="61"/>
      <c r="B487" s="63" t="b">
        <v>0</v>
      </c>
      <c r="C487" s="64">
        <v>480.0</v>
      </c>
      <c r="D487" s="66">
        <v>45643.0</v>
      </c>
      <c r="E487" s="67" t="s">
        <v>86</v>
      </c>
      <c r="F487" s="69">
        <v>188000.0</v>
      </c>
      <c r="G487" s="70" t="s">
        <v>318</v>
      </c>
      <c r="H487" s="70" t="s">
        <v>28</v>
      </c>
      <c r="I487" s="71"/>
    </row>
    <row r="488" ht="17.25" customHeight="1">
      <c r="A488" s="61"/>
      <c r="B488" s="63" t="b">
        <v>0</v>
      </c>
      <c r="C488" s="64">
        <v>481.0</v>
      </c>
      <c r="D488" s="66">
        <v>45644.0</v>
      </c>
      <c r="E488" s="67" t="s">
        <v>55</v>
      </c>
      <c r="F488" s="69">
        <v>2500.0</v>
      </c>
      <c r="G488" s="70" t="s">
        <v>33</v>
      </c>
      <c r="H488" s="70" t="s">
        <v>28</v>
      </c>
      <c r="I488" s="71"/>
    </row>
    <row r="489" ht="17.25" customHeight="1">
      <c r="A489" s="61"/>
      <c r="B489" s="63" t="b">
        <v>0</v>
      </c>
      <c r="C489" s="64">
        <v>482.0</v>
      </c>
      <c r="D489" s="66">
        <v>45644.0</v>
      </c>
      <c r="E489" s="67" t="s">
        <v>35</v>
      </c>
      <c r="F489" s="69">
        <v>202500.0</v>
      </c>
      <c r="G489" s="70" t="s">
        <v>313</v>
      </c>
      <c r="H489" s="70" t="s">
        <v>28</v>
      </c>
      <c r="I489" s="71"/>
    </row>
    <row r="490" ht="17.25" customHeight="1">
      <c r="A490" s="61"/>
      <c r="B490" s="63" t="b">
        <v>0</v>
      </c>
      <c r="C490" s="64">
        <v>483.0</v>
      </c>
      <c r="D490" s="66">
        <v>45645.0</v>
      </c>
      <c r="E490" s="67" t="s">
        <v>55</v>
      </c>
      <c r="F490" s="69">
        <v>2500.0</v>
      </c>
      <c r="G490" s="70" t="s">
        <v>33</v>
      </c>
      <c r="H490" s="70" t="s">
        <v>28</v>
      </c>
      <c r="I490" s="71"/>
    </row>
    <row r="491" ht="17.25" customHeight="1">
      <c r="A491" s="61"/>
      <c r="B491" s="63" t="b">
        <v>0</v>
      </c>
      <c r="C491" s="64">
        <v>484.0</v>
      </c>
      <c r="D491" s="66">
        <v>45649.0</v>
      </c>
      <c r="E491" s="67" t="s">
        <v>55</v>
      </c>
      <c r="F491" s="69">
        <v>16500.0</v>
      </c>
      <c r="G491" s="70" t="s">
        <v>306</v>
      </c>
      <c r="H491" s="70" t="s">
        <v>28</v>
      </c>
      <c r="I491" s="71"/>
    </row>
    <row r="492" ht="17.25" customHeight="1">
      <c r="A492" s="61"/>
      <c r="B492" s="63" t="b">
        <v>0</v>
      </c>
      <c r="C492" s="64">
        <v>485.0</v>
      </c>
      <c r="D492" s="66">
        <v>45649.0</v>
      </c>
      <c r="E492" s="67" t="s">
        <v>55</v>
      </c>
      <c r="F492" s="69">
        <v>12000.0</v>
      </c>
      <c r="G492" s="70" t="s">
        <v>296</v>
      </c>
      <c r="H492" s="70" t="s">
        <v>28</v>
      </c>
      <c r="I492" s="71"/>
    </row>
    <row r="493" ht="17.25" customHeight="1">
      <c r="A493" s="61"/>
      <c r="B493" s="63" t="b">
        <v>0</v>
      </c>
      <c r="C493" s="64">
        <v>486.0</v>
      </c>
      <c r="D493" s="66">
        <v>45649.0</v>
      </c>
      <c r="E493" s="67" t="s">
        <v>55</v>
      </c>
      <c r="F493" s="69">
        <v>31600.0</v>
      </c>
      <c r="G493" s="70" t="s">
        <v>57</v>
      </c>
      <c r="H493" s="70" t="s">
        <v>28</v>
      </c>
      <c r="I493" s="71"/>
    </row>
    <row r="494" ht="17.25" customHeight="1">
      <c r="A494" s="61"/>
      <c r="B494" s="63" t="b">
        <v>0</v>
      </c>
      <c r="C494" s="64">
        <v>487.0</v>
      </c>
      <c r="D494" s="66">
        <v>45652.0</v>
      </c>
      <c r="E494" s="67" t="s">
        <v>55</v>
      </c>
      <c r="F494" s="69">
        <v>2000.0</v>
      </c>
      <c r="G494" s="70" t="s">
        <v>33</v>
      </c>
      <c r="H494" s="70" t="s">
        <v>28</v>
      </c>
      <c r="I494" s="71"/>
    </row>
    <row r="495" ht="17.25" customHeight="1">
      <c r="A495" s="61"/>
      <c r="B495" s="63" t="b">
        <v>0</v>
      </c>
      <c r="C495" s="64">
        <v>488.0</v>
      </c>
      <c r="D495" s="66">
        <v>45653.0</v>
      </c>
      <c r="E495" s="67" t="s">
        <v>55</v>
      </c>
      <c r="F495" s="69">
        <v>13500.0</v>
      </c>
      <c r="G495" s="70" t="s">
        <v>320</v>
      </c>
      <c r="H495" s="70" t="s">
        <v>28</v>
      </c>
      <c r="I495" s="71"/>
    </row>
    <row r="496" ht="17.25" customHeight="1">
      <c r="A496" s="164"/>
      <c r="B496" s="165" t="b">
        <v>0</v>
      </c>
      <c r="C496" s="166">
        <v>489.0</v>
      </c>
      <c r="D496" s="66">
        <v>45653.0</v>
      </c>
      <c r="E496" s="167" t="s">
        <v>179</v>
      </c>
      <c r="F496" s="169">
        <f>6460000+2662500</f>
        <v>9122500</v>
      </c>
      <c r="G496" s="170"/>
      <c r="H496" s="167" t="s">
        <v>28</v>
      </c>
      <c r="I496" s="74"/>
    </row>
    <row r="497" ht="17.25" customHeight="1">
      <c r="A497" s="61"/>
      <c r="B497" s="63" t="b">
        <v>0</v>
      </c>
      <c r="C497" s="64">
        <v>490.0</v>
      </c>
      <c r="D497" s="66">
        <v>45654.0</v>
      </c>
      <c r="E497" s="67" t="s">
        <v>55</v>
      </c>
      <c r="F497" s="69">
        <v>2000.0</v>
      </c>
      <c r="G497" s="70" t="s">
        <v>33</v>
      </c>
      <c r="H497" s="70" t="s">
        <v>28</v>
      </c>
      <c r="I497" s="71"/>
    </row>
    <row r="498" ht="17.25" customHeight="1">
      <c r="A498" s="61"/>
      <c r="B498" s="63"/>
      <c r="C498" s="64">
        <v>491.0</v>
      </c>
      <c r="D498" s="66">
        <v>45654.0</v>
      </c>
      <c r="E498" s="67" t="s">
        <v>35</v>
      </c>
      <c r="F498" s="69">
        <v>102472.0</v>
      </c>
      <c r="G498" s="70" t="s">
        <v>36</v>
      </c>
      <c r="H498" s="70" t="s">
        <v>28</v>
      </c>
      <c r="I498" s="71"/>
    </row>
    <row r="499" ht="17.25" customHeight="1">
      <c r="A499" s="61"/>
      <c r="B499" s="63" t="b">
        <v>0</v>
      </c>
      <c r="C499" s="64">
        <v>492.0</v>
      </c>
      <c r="D499" s="66">
        <v>45661.0</v>
      </c>
      <c r="E499" s="67" t="s">
        <v>55</v>
      </c>
      <c r="F499" s="69">
        <v>12000.0</v>
      </c>
      <c r="G499" s="70" t="s">
        <v>330</v>
      </c>
      <c r="H499" s="70" t="s">
        <v>28</v>
      </c>
      <c r="I499" s="71"/>
    </row>
    <row r="500" ht="17.25" customHeight="1">
      <c r="A500" s="61"/>
      <c r="B500" s="63" t="b">
        <v>0</v>
      </c>
      <c r="C500" s="64">
        <v>493.0</v>
      </c>
      <c r="D500" s="66">
        <v>45661.0</v>
      </c>
      <c r="E500" s="67" t="s">
        <v>105</v>
      </c>
      <c r="F500" s="69">
        <v>27000.0</v>
      </c>
      <c r="G500" s="70" t="s">
        <v>106</v>
      </c>
      <c r="H500" s="70" t="s">
        <v>28</v>
      </c>
      <c r="I500" s="71"/>
    </row>
    <row r="501" ht="17.25" customHeight="1">
      <c r="A501" s="61"/>
      <c r="B501" s="63" t="b">
        <v>0</v>
      </c>
      <c r="C501" s="64">
        <v>494.0</v>
      </c>
      <c r="D501" s="66">
        <v>45661.0</v>
      </c>
      <c r="E501" s="67" t="s">
        <v>55</v>
      </c>
      <c r="F501" s="69">
        <v>2500.0</v>
      </c>
      <c r="G501" s="70" t="s">
        <v>33</v>
      </c>
      <c r="H501" s="70" t="s">
        <v>28</v>
      </c>
      <c r="I501" s="71"/>
    </row>
    <row r="502" ht="17.25" customHeight="1">
      <c r="A502" s="61"/>
      <c r="B502" s="63" t="b">
        <v>0</v>
      </c>
      <c r="C502" s="64">
        <v>495.0</v>
      </c>
      <c r="D502" s="66">
        <v>45661.0</v>
      </c>
      <c r="E502" s="67" t="s">
        <v>25</v>
      </c>
      <c r="F502" s="69">
        <v>16500.0</v>
      </c>
      <c r="G502" s="70" t="s">
        <v>335</v>
      </c>
      <c r="H502" s="70" t="s">
        <v>28</v>
      </c>
      <c r="I502" s="71"/>
    </row>
    <row r="503" ht="17.25" customHeight="1">
      <c r="A503" s="61"/>
      <c r="B503" s="63" t="b">
        <v>0</v>
      </c>
      <c r="C503" s="64">
        <v>496.0</v>
      </c>
      <c r="D503" s="66">
        <v>45662.0</v>
      </c>
      <c r="E503" s="67" t="s">
        <v>55</v>
      </c>
      <c r="F503" s="69">
        <v>2000.0</v>
      </c>
      <c r="G503" s="70" t="s">
        <v>33</v>
      </c>
      <c r="H503" s="70" t="s">
        <v>28</v>
      </c>
      <c r="I503" s="71"/>
    </row>
    <row r="504" ht="17.25" customHeight="1">
      <c r="A504" s="61"/>
      <c r="B504" s="63" t="b">
        <v>0</v>
      </c>
      <c r="C504" s="64">
        <v>497.0</v>
      </c>
      <c r="D504" s="66">
        <v>45663.0</v>
      </c>
      <c r="E504" s="67" t="s">
        <v>55</v>
      </c>
      <c r="F504" s="69">
        <v>2000.0</v>
      </c>
      <c r="G504" s="70" t="s">
        <v>33</v>
      </c>
      <c r="H504" s="70" t="s">
        <v>28</v>
      </c>
      <c r="I504" s="71"/>
    </row>
    <row r="505" ht="17.25" customHeight="1">
      <c r="A505" s="61"/>
      <c r="B505" s="63" t="b">
        <v>0</v>
      </c>
      <c r="C505" s="64">
        <v>498.0</v>
      </c>
      <c r="D505" s="66">
        <v>45663.0</v>
      </c>
      <c r="E505" s="67" t="s">
        <v>35</v>
      </c>
      <c r="F505" s="69">
        <v>202415.0</v>
      </c>
      <c r="G505" s="70" t="s">
        <v>348</v>
      </c>
      <c r="H505" s="70" t="s">
        <v>28</v>
      </c>
      <c r="I505" s="71"/>
    </row>
    <row r="506" ht="17.25" customHeight="1">
      <c r="A506" s="61"/>
      <c r="B506" s="63" t="b">
        <v>0</v>
      </c>
      <c r="C506" s="64">
        <v>499.0</v>
      </c>
      <c r="D506" s="66">
        <v>45664.0</v>
      </c>
      <c r="E506" s="67" t="s">
        <v>55</v>
      </c>
      <c r="F506" s="69">
        <v>2500.0</v>
      </c>
      <c r="G506" s="70" t="s">
        <v>33</v>
      </c>
      <c r="H506" s="70" t="s">
        <v>28</v>
      </c>
      <c r="I506" s="71"/>
    </row>
    <row r="507" ht="17.25" customHeight="1">
      <c r="A507" s="61"/>
      <c r="B507" s="63" t="b">
        <v>0</v>
      </c>
      <c r="C507" s="64">
        <v>500.0</v>
      </c>
      <c r="D507" s="66">
        <v>45664.0</v>
      </c>
      <c r="E507" s="67" t="s">
        <v>138</v>
      </c>
      <c r="F507" s="69">
        <v>30000.0</v>
      </c>
      <c r="G507" s="70" t="s">
        <v>349</v>
      </c>
      <c r="H507" s="70" t="s">
        <v>28</v>
      </c>
      <c r="I507" s="71"/>
    </row>
    <row r="508" ht="17.25" customHeight="1">
      <c r="A508" s="61"/>
      <c r="B508" s="63" t="b">
        <v>0</v>
      </c>
      <c r="C508" s="64">
        <v>501.0</v>
      </c>
      <c r="D508" s="66">
        <v>45665.0</v>
      </c>
      <c r="E508" s="67" t="s">
        <v>25</v>
      </c>
      <c r="F508" s="69">
        <v>25500.0</v>
      </c>
      <c r="G508" s="70" t="s">
        <v>350</v>
      </c>
      <c r="H508" s="70" t="s">
        <v>28</v>
      </c>
      <c r="I508" s="71"/>
    </row>
    <row r="509" ht="17.25" customHeight="1">
      <c r="A509" s="61"/>
      <c r="B509" s="63" t="b">
        <v>0</v>
      </c>
      <c r="C509" s="64">
        <v>502.0</v>
      </c>
      <c r="D509" s="66">
        <v>45665.0</v>
      </c>
      <c r="E509" s="67" t="s">
        <v>25</v>
      </c>
      <c r="F509" s="69">
        <v>26000.0</v>
      </c>
      <c r="G509" s="70" t="s">
        <v>351</v>
      </c>
      <c r="H509" s="70" t="s">
        <v>28</v>
      </c>
      <c r="I509" s="71"/>
    </row>
    <row r="510" ht="17.25" customHeight="1">
      <c r="A510" s="61"/>
      <c r="B510" s="63" t="b">
        <v>0</v>
      </c>
      <c r="C510" s="64">
        <v>503.0</v>
      </c>
      <c r="D510" s="66">
        <v>45665.0</v>
      </c>
      <c r="E510" s="67" t="s">
        <v>55</v>
      </c>
      <c r="F510" s="69">
        <v>2000.0</v>
      </c>
      <c r="G510" s="70" t="s">
        <v>33</v>
      </c>
      <c r="H510" s="70" t="s">
        <v>28</v>
      </c>
      <c r="I510" s="71"/>
    </row>
    <row r="511" ht="17.25" customHeight="1">
      <c r="A511" s="61"/>
      <c r="B511" s="63" t="b">
        <v>0</v>
      </c>
      <c r="C511" s="64">
        <v>504.0</v>
      </c>
      <c r="D511" s="66">
        <v>45665.0</v>
      </c>
      <c r="E511" s="67" t="s">
        <v>55</v>
      </c>
      <c r="F511" s="69">
        <v>47000.0</v>
      </c>
      <c r="G511" s="70" t="s">
        <v>166</v>
      </c>
      <c r="H511" s="70" t="s">
        <v>28</v>
      </c>
      <c r="I511" s="71"/>
    </row>
    <row r="512" ht="17.25" customHeight="1">
      <c r="A512" s="61"/>
      <c r="B512" s="63" t="b">
        <v>0</v>
      </c>
      <c r="C512" s="64">
        <v>505.0</v>
      </c>
      <c r="D512" s="66">
        <v>45666.0</v>
      </c>
      <c r="E512" s="67" t="s">
        <v>55</v>
      </c>
      <c r="F512" s="69">
        <v>2500.0</v>
      </c>
      <c r="G512" s="70" t="s">
        <v>33</v>
      </c>
      <c r="H512" s="70" t="s">
        <v>28</v>
      </c>
      <c r="I512" s="71"/>
    </row>
    <row r="513" ht="17.25" customHeight="1">
      <c r="A513" s="61"/>
      <c r="B513" s="63" t="b">
        <v>0</v>
      </c>
      <c r="C513" s="64">
        <v>506.0</v>
      </c>
      <c r="D513" s="66">
        <v>45666.0</v>
      </c>
      <c r="E513" s="67" t="s">
        <v>55</v>
      </c>
      <c r="F513" s="69">
        <v>16500.0</v>
      </c>
      <c r="G513" s="70" t="s">
        <v>335</v>
      </c>
      <c r="H513" s="70" t="s">
        <v>28</v>
      </c>
      <c r="I513" s="71"/>
    </row>
    <row r="514" ht="17.25" customHeight="1">
      <c r="A514" s="61"/>
      <c r="B514" s="63" t="b">
        <v>0</v>
      </c>
      <c r="C514" s="64">
        <v>507.0</v>
      </c>
      <c r="D514" s="66">
        <v>45667.0</v>
      </c>
      <c r="E514" s="67" t="s">
        <v>64</v>
      </c>
      <c r="F514" s="69">
        <v>100000.0</v>
      </c>
      <c r="G514" s="70" t="s">
        <v>353</v>
      </c>
      <c r="H514" s="70" t="s">
        <v>28</v>
      </c>
      <c r="I514" s="71"/>
    </row>
    <row r="515" ht="17.25" customHeight="1">
      <c r="A515" s="61"/>
      <c r="B515" s="63" t="b">
        <v>0</v>
      </c>
      <c r="C515" s="64">
        <v>508.0</v>
      </c>
      <c r="D515" s="66">
        <v>45668.0</v>
      </c>
      <c r="E515" s="67" t="s">
        <v>55</v>
      </c>
      <c r="F515" s="69">
        <v>2000.0</v>
      </c>
      <c r="G515" s="70" t="s">
        <v>33</v>
      </c>
      <c r="H515" s="70" t="s">
        <v>28</v>
      </c>
      <c r="I515" s="71"/>
    </row>
    <row r="516" ht="17.25" customHeight="1">
      <c r="A516" s="61"/>
      <c r="B516" s="63" t="b">
        <v>0</v>
      </c>
      <c r="C516" s="64">
        <v>509.0</v>
      </c>
      <c r="D516" s="66">
        <v>45668.0</v>
      </c>
      <c r="E516" s="67" t="s">
        <v>55</v>
      </c>
      <c r="F516" s="69">
        <v>16500.0</v>
      </c>
      <c r="G516" s="70" t="s">
        <v>335</v>
      </c>
      <c r="H516" s="70" t="s">
        <v>28</v>
      </c>
      <c r="I516" s="71"/>
    </row>
    <row r="517" ht="17.25" customHeight="1">
      <c r="A517" s="61"/>
      <c r="B517" s="63" t="b">
        <v>0</v>
      </c>
      <c r="C517" s="64">
        <v>510.0</v>
      </c>
      <c r="D517" s="66">
        <v>45670.0</v>
      </c>
      <c r="E517" s="67" t="s">
        <v>64</v>
      </c>
      <c r="F517" s="69">
        <v>60000.0</v>
      </c>
      <c r="G517" s="70" t="s">
        <v>128</v>
      </c>
      <c r="H517" s="70" t="s">
        <v>28</v>
      </c>
      <c r="I517" s="71"/>
    </row>
    <row r="518" ht="17.25" customHeight="1">
      <c r="A518" s="61"/>
      <c r="B518" s="63" t="b">
        <v>0</v>
      </c>
      <c r="C518" s="64">
        <v>511.0</v>
      </c>
      <c r="D518" s="66">
        <v>45670.0</v>
      </c>
      <c r="E518" s="67" t="s">
        <v>35</v>
      </c>
      <c r="F518" s="69">
        <v>200000.0</v>
      </c>
      <c r="G518" s="70" t="s">
        <v>36</v>
      </c>
      <c r="H518" s="70" t="s">
        <v>28</v>
      </c>
      <c r="I518" s="71"/>
    </row>
    <row r="519" ht="17.25" customHeight="1">
      <c r="A519" s="61"/>
      <c r="B519" s="63" t="b">
        <v>0</v>
      </c>
      <c r="C519" s="64">
        <v>512.0</v>
      </c>
      <c r="D519" s="66">
        <v>45671.0</v>
      </c>
      <c r="E519" s="67" t="s">
        <v>25</v>
      </c>
      <c r="F519" s="69">
        <v>10800.0</v>
      </c>
      <c r="G519" s="70" t="s">
        <v>354</v>
      </c>
      <c r="H519" s="70" t="s">
        <v>28</v>
      </c>
      <c r="I519" s="71"/>
    </row>
    <row r="520" ht="17.25" customHeight="1">
      <c r="A520" s="61"/>
      <c r="B520" s="63" t="b">
        <v>0</v>
      </c>
      <c r="C520" s="64">
        <v>513.0</v>
      </c>
      <c r="D520" s="66">
        <v>45671.0</v>
      </c>
      <c r="E520" s="67" t="s">
        <v>25</v>
      </c>
      <c r="F520" s="69">
        <v>16500.0</v>
      </c>
      <c r="G520" s="70" t="s">
        <v>335</v>
      </c>
      <c r="H520" s="70" t="s">
        <v>28</v>
      </c>
      <c r="I520" s="71"/>
    </row>
    <row r="521" ht="17.25" customHeight="1">
      <c r="A521" s="61"/>
      <c r="B521" s="63" t="b">
        <v>0</v>
      </c>
      <c r="C521" s="64">
        <v>514.0</v>
      </c>
      <c r="D521" s="66">
        <v>45671.0</v>
      </c>
      <c r="E521" s="67" t="s">
        <v>55</v>
      </c>
      <c r="F521" s="69">
        <v>2000.0</v>
      </c>
      <c r="G521" s="70" t="s">
        <v>33</v>
      </c>
      <c r="H521" s="70" t="s">
        <v>28</v>
      </c>
      <c r="I521" s="71"/>
    </row>
    <row r="522" ht="17.25" customHeight="1">
      <c r="A522" s="61"/>
      <c r="B522" s="63" t="b">
        <v>0</v>
      </c>
      <c r="C522" s="64">
        <v>515.0</v>
      </c>
      <c r="D522" s="66"/>
      <c r="E522" s="185"/>
      <c r="F522" s="69"/>
      <c r="G522" s="70"/>
      <c r="H522" s="70" t="s">
        <v>28</v>
      </c>
      <c r="I522" s="71"/>
    </row>
    <row r="523" ht="17.25" customHeight="1">
      <c r="A523" s="61"/>
      <c r="B523" s="63" t="b">
        <v>0</v>
      </c>
      <c r="C523" s="64">
        <v>516.0</v>
      </c>
      <c r="D523" s="66"/>
      <c r="E523" s="185"/>
      <c r="F523" s="69"/>
      <c r="G523" s="70"/>
      <c r="H523" s="70" t="s">
        <v>28</v>
      </c>
      <c r="I523" s="71"/>
    </row>
    <row r="524" ht="17.25" customHeight="1">
      <c r="A524" s="61"/>
      <c r="B524" s="63" t="b">
        <v>0</v>
      </c>
      <c r="C524" s="64">
        <v>517.0</v>
      </c>
      <c r="D524" s="66"/>
      <c r="E524" s="185"/>
      <c r="F524" s="69"/>
      <c r="G524" s="70"/>
      <c r="H524" s="70" t="s">
        <v>28</v>
      </c>
      <c r="I524" s="71"/>
    </row>
    <row r="525" ht="17.25" customHeight="1">
      <c r="A525" s="61"/>
      <c r="B525" s="63" t="b">
        <v>0</v>
      </c>
      <c r="C525" s="64">
        <v>518.0</v>
      </c>
      <c r="D525" s="66"/>
      <c r="E525" s="185"/>
      <c r="F525" s="69"/>
      <c r="G525" s="70"/>
      <c r="H525" s="70" t="s">
        <v>28</v>
      </c>
      <c r="I525" s="71"/>
    </row>
    <row r="526" ht="17.25" customHeight="1">
      <c r="A526" s="61"/>
      <c r="B526" s="63" t="b">
        <v>0</v>
      </c>
      <c r="C526" s="64">
        <v>519.0</v>
      </c>
      <c r="D526" s="66"/>
      <c r="E526" s="185"/>
      <c r="F526" s="69"/>
      <c r="G526" s="70"/>
      <c r="H526" s="70" t="s">
        <v>28</v>
      </c>
      <c r="I526" s="71"/>
    </row>
    <row r="527" ht="17.25" customHeight="1">
      <c r="A527" s="61"/>
      <c r="B527" s="63" t="b">
        <v>0</v>
      </c>
      <c r="C527" s="64">
        <v>520.0</v>
      </c>
      <c r="D527" s="66"/>
      <c r="E527" s="185"/>
      <c r="F527" s="69"/>
      <c r="G527" s="70"/>
      <c r="H527" s="70" t="s">
        <v>28</v>
      </c>
      <c r="I527" s="71"/>
    </row>
    <row r="528" ht="17.25" customHeight="1">
      <c r="A528" s="61"/>
      <c r="B528" s="63" t="b">
        <v>0</v>
      </c>
      <c r="C528" s="64">
        <v>521.0</v>
      </c>
      <c r="D528" s="66"/>
      <c r="E528" s="185"/>
      <c r="F528" s="69"/>
      <c r="G528" s="70"/>
      <c r="H528" s="70" t="s">
        <v>28</v>
      </c>
      <c r="I528" s="71"/>
    </row>
    <row r="529" ht="17.25" customHeight="1">
      <c r="A529" s="61"/>
      <c r="B529" s="63" t="b">
        <v>0</v>
      </c>
      <c r="C529" s="64">
        <v>522.0</v>
      </c>
      <c r="D529" s="66"/>
      <c r="E529" s="185"/>
      <c r="F529" s="69"/>
      <c r="G529" s="70"/>
      <c r="H529" s="70" t="s">
        <v>28</v>
      </c>
      <c r="I529" s="71"/>
    </row>
    <row r="530" ht="17.25" customHeight="1">
      <c r="A530" s="61"/>
      <c r="B530" s="63" t="b">
        <v>0</v>
      </c>
      <c r="C530" s="64">
        <v>523.0</v>
      </c>
      <c r="D530" s="66"/>
      <c r="E530" s="185"/>
      <c r="F530" s="69"/>
      <c r="G530" s="70"/>
      <c r="H530" s="70" t="s">
        <v>28</v>
      </c>
      <c r="I530" s="71"/>
    </row>
    <row r="531" ht="17.25" customHeight="1">
      <c r="A531" s="61"/>
      <c r="B531" s="63" t="b">
        <v>0</v>
      </c>
      <c r="C531" s="64">
        <v>524.0</v>
      </c>
      <c r="D531" s="66"/>
      <c r="E531" s="185"/>
      <c r="F531" s="69"/>
      <c r="G531" s="70"/>
      <c r="H531" s="70" t="s">
        <v>28</v>
      </c>
      <c r="I531" s="71"/>
    </row>
    <row r="532" ht="17.25" customHeight="1">
      <c r="A532" s="61"/>
      <c r="B532" s="63" t="b">
        <v>0</v>
      </c>
      <c r="C532" s="64">
        <v>525.0</v>
      </c>
      <c r="D532" s="66"/>
      <c r="E532" s="185"/>
      <c r="F532" s="69"/>
      <c r="G532" s="70"/>
      <c r="H532" s="70" t="s">
        <v>28</v>
      </c>
      <c r="I532" s="71"/>
    </row>
    <row r="533" ht="17.25" customHeight="1">
      <c r="A533" s="61"/>
      <c r="B533" s="63" t="b">
        <v>0</v>
      </c>
      <c r="C533" s="64">
        <v>526.0</v>
      </c>
      <c r="D533" s="66"/>
      <c r="E533" s="185"/>
      <c r="F533" s="69"/>
      <c r="G533" s="70"/>
      <c r="H533" s="70" t="s">
        <v>28</v>
      </c>
      <c r="I533" s="71"/>
    </row>
    <row r="534" ht="17.25" customHeight="1">
      <c r="A534" s="61"/>
      <c r="B534" s="63" t="b">
        <v>0</v>
      </c>
      <c r="C534" s="64">
        <v>527.0</v>
      </c>
      <c r="D534" s="66"/>
      <c r="E534" s="185"/>
      <c r="F534" s="69"/>
      <c r="G534" s="70"/>
      <c r="H534" s="70" t="s">
        <v>28</v>
      </c>
      <c r="I534" s="71"/>
    </row>
    <row r="535" ht="17.25" customHeight="1">
      <c r="A535" s="61"/>
      <c r="B535" s="63" t="b">
        <v>0</v>
      </c>
      <c r="C535" s="64">
        <v>528.0</v>
      </c>
      <c r="D535" s="66"/>
      <c r="E535" s="185"/>
      <c r="F535" s="69"/>
      <c r="G535" s="70"/>
      <c r="H535" s="70" t="s">
        <v>28</v>
      </c>
      <c r="I535" s="71"/>
    </row>
    <row r="536" ht="17.25" customHeight="1">
      <c r="A536" s="61"/>
      <c r="B536" s="63" t="b">
        <v>0</v>
      </c>
      <c r="C536" s="64">
        <v>529.0</v>
      </c>
      <c r="D536" s="66"/>
      <c r="E536" s="185"/>
      <c r="F536" s="69"/>
      <c r="G536" s="70"/>
      <c r="H536" s="70" t="s">
        <v>28</v>
      </c>
      <c r="I536" s="71"/>
    </row>
    <row r="537" ht="17.25" customHeight="1">
      <c r="A537" s="61"/>
      <c r="B537" s="63" t="b">
        <v>0</v>
      </c>
      <c r="C537" s="64">
        <v>530.0</v>
      </c>
      <c r="D537" s="66"/>
      <c r="E537" s="185"/>
      <c r="F537" s="69"/>
      <c r="G537" s="70"/>
      <c r="H537" s="70" t="s">
        <v>28</v>
      </c>
      <c r="I537" s="71"/>
    </row>
    <row r="538" ht="17.25" customHeight="1">
      <c r="A538" s="61"/>
      <c r="B538" s="63" t="b">
        <v>0</v>
      </c>
      <c r="C538" s="64">
        <v>531.0</v>
      </c>
      <c r="D538" s="66"/>
      <c r="E538" s="185"/>
      <c r="F538" s="69"/>
      <c r="G538" s="70"/>
      <c r="H538" s="70" t="s">
        <v>28</v>
      </c>
      <c r="I538" s="71"/>
    </row>
    <row r="539" ht="17.25" customHeight="1">
      <c r="A539" s="61"/>
      <c r="B539" s="63" t="b">
        <v>0</v>
      </c>
      <c r="C539" s="64">
        <v>532.0</v>
      </c>
      <c r="D539" s="66"/>
      <c r="E539" s="185"/>
      <c r="F539" s="69"/>
      <c r="G539" s="70"/>
      <c r="H539" s="70" t="s">
        <v>28</v>
      </c>
      <c r="I539" s="71"/>
    </row>
    <row r="540" ht="17.25" customHeight="1">
      <c r="A540" s="61"/>
      <c r="B540" s="63" t="b">
        <v>0</v>
      </c>
      <c r="C540" s="64">
        <v>533.0</v>
      </c>
      <c r="D540" s="66"/>
      <c r="E540" s="185"/>
      <c r="F540" s="69"/>
      <c r="G540" s="70"/>
      <c r="H540" s="70" t="s">
        <v>28</v>
      </c>
      <c r="I540" s="71"/>
    </row>
    <row r="541" ht="17.25" customHeight="1">
      <c r="A541" s="61"/>
      <c r="B541" s="63" t="b">
        <v>0</v>
      </c>
      <c r="C541" s="64">
        <v>534.0</v>
      </c>
      <c r="D541" s="66"/>
      <c r="E541" s="185"/>
      <c r="F541" s="69"/>
      <c r="G541" s="70"/>
      <c r="H541" s="70" t="s">
        <v>28</v>
      </c>
      <c r="I541" s="71"/>
    </row>
    <row r="542" ht="17.25" customHeight="1">
      <c r="A542" s="61"/>
      <c r="B542" s="63" t="b">
        <v>0</v>
      </c>
      <c r="C542" s="64">
        <v>535.0</v>
      </c>
      <c r="D542" s="66"/>
      <c r="E542" s="185"/>
      <c r="F542" s="69"/>
      <c r="G542" s="70"/>
      <c r="H542" s="70" t="s">
        <v>28</v>
      </c>
      <c r="I542" s="71"/>
    </row>
    <row r="543" ht="17.25" customHeight="1">
      <c r="A543" s="61"/>
      <c r="B543" s="63" t="b">
        <v>0</v>
      </c>
      <c r="C543" s="64">
        <v>536.0</v>
      </c>
      <c r="D543" s="66"/>
      <c r="E543" s="185"/>
      <c r="F543" s="69"/>
      <c r="G543" s="70"/>
      <c r="H543" s="70" t="s">
        <v>28</v>
      </c>
      <c r="I543" s="71"/>
    </row>
    <row r="544" ht="17.25" customHeight="1">
      <c r="A544" s="61"/>
      <c r="B544" s="63" t="b">
        <v>0</v>
      </c>
      <c r="C544" s="64">
        <v>537.0</v>
      </c>
      <c r="D544" s="66"/>
      <c r="E544" s="185"/>
      <c r="F544" s="69"/>
      <c r="G544" s="70"/>
      <c r="H544" s="70" t="s">
        <v>28</v>
      </c>
      <c r="I544" s="71"/>
    </row>
    <row r="545" ht="17.25" customHeight="1">
      <c r="A545" s="61"/>
      <c r="B545" s="63" t="b">
        <v>0</v>
      </c>
      <c r="C545" s="64">
        <v>538.0</v>
      </c>
      <c r="D545" s="66"/>
      <c r="E545" s="185"/>
      <c r="F545" s="69"/>
      <c r="G545" s="70"/>
      <c r="H545" s="70" t="s">
        <v>28</v>
      </c>
      <c r="I545" s="71"/>
    </row>
    <row r="546" ht="17.25" customHeight="1">
      <c r="A546" s="61"/>
      <c r="B546" s="63" t="b">
        <v>0</v>
      </c>
      <c r="C546" s="64">
        <v>539.0</v>
      </c>
      <c r="D546" s="66"/>
      <c r="E546" s="185"/>
      <c r="F546" s="69"/>
      <c r="G546" s="70"/>
      <c r="H546" s="70" t="s">
        <v>28</v>
      </c>
      <c r="I546" s="71"/>
    </row>
    <row r="547" ht="17.25" customHeight="1">
      <c r="A547" s="61"/>
      <c r="B547" s="63" t="b">
        <v>0</v>
      </c>
      <c r="C547" s="64">
        <v>540.0</v>
      </c>
      <c r="D547" s="66"/>
      <c r="E547" s="185"/>
      <c r="F547" s="69"/>
      <c r="G547" s="70"/>
      <c r="H547" s="70" t="s">
        <v>28</v>
      </c>
      <c r="I547" s="71"/>
    </row>
    <row r="548" ht="17.25" customHeight="1">
      <c r="A548" s="61"/>
      <c r="B548" s="63" t="b">
        <v>0</v>
      </c>
      <c r="C548" s="64">
        <v>541.0</v>
      </c>
      <c r="D548" s="66"/>
      <c r="E548" s="185"/>
      <c r="F548" s="69"/>
      <c r="G548" s="70"/>
      <c r="H548" s="70" t="s">
        <v>28</v>
      </c>
      <c r="I548" s="71"/>
    </row>
    <row r="549" ht="17.25" customHeight="1">
      <c r="A549" s="61"/>
      <c r="B549" s="63" t="b">
        <v>0</v>
      </c>
      <c r="C549" s="64">
        <v>542.0</v>
      </c>
      <c r="D549" s="66"/>
      <c r="E549" s="185"/>
      <c r="F549" s="69"/>
      <c r="G549" s="70"/>
      <c r="H549" s="70" t="s">
        <v>28</v>
      </c>
      <c r="I549" s="71"/>
    </row>
    <row r="550" ht="17.25" customHeight="1">
      <c r="A550" s="61"/>
      <c r="B550" s="63" t="b">
        <v>0</v>
      </c>
      <c r="C550" s="64">
        <v>543.0</v>
      </c>
      <c r="D550" s="66"/>
      <c r="E550" s="185"/>
      <c r="F550" s="69"/>
      <c r="G550" s="70"/>
      <c r="H550" s="70" t="s">
        <v>28</v>
      </c>
      <c r="I550" s="71"/>
    </row>
    <row r="551" ht="17.25" customHeight="1">
      <c r="A551" s="61"/>
      <c r="B551" s="63" t="b">
        <v>0</v>
      </c>
      <c r="C551" s="64">
        <v>544.0</v>
      </c>
      <c r="D551" s="66"/>
      <c r="E551" s="185"/>
      <c r="F551" s="69"/>
      <c r="G551" s="70"/>
      <c r="H551" s="70" t="s">
        <v>28</v>
      </c>
      <c r="I551" s="71"/>
    </row>
    <row r="552" ht="17.25" customHeight="1">
      <c r="A552" s="61"/>
      <c r="B552" s="63" t="b">
        <v>0</v>
      </c>
      <c r="C552" s="64">
        <v>545.0</v>
      </c>
      <c r="D552" s="66"/>
      <c r="E552" s="185"/>
      <c r="F552" s="69"/>
      <c r="G552" s="70"/>
      <c r="H552" s="70" t="s">
        <v>28</v>
      </c>
      <c r="I552" s="71"/>
    </row>
    <row r="553" ht="17.25" customHeight="1">
      <c r="A553" s="61"/>
      <c r="B553" s="63" t="b">
        <v>0</v>
      </c>
      <c r="C553" s="64">
        <v>546.0</v>
      </c>
      <c r="D553" s="66"/>
      <c r="E553" s="185"/>
      <c r="F553" s="69"/>
      <c r="G553" s="70"/>
      <c r="H553" s="70" t="s">
        <v>28</v>
      </c>
      <c r="I553" s="71"/>
    </row>
    <row r="554" ht="17.25" customHeight="1">
      <c r="A554" s="61"/>
      <c r="B554" s="63" t="b">
        <v>0</v>
      </c>
      <c r="C554" s="64">
        <v>547.0</v>
      </c>
      <c r="D554" s="66"/>
      <c r="E554" s="185"/>
      <c r="F554" s="69"/>
      <c r="G554" s="70"/>
      <c r="H554" s="70" t="s">
        <v>28</v>
      </c>
      <c r="I554" s="71"/>
    </row>
    <row r="555" ht="17.25" customHeight="1">
      <c r="A555" s="61"/>
      <c r="B555" s="63" t="b">
        <v>0</v>
      </c>
      <c r="C555" s="64">
        <v>548.0</v>
      </c>
      <c r="D555" s="66"/>
      <c r="E555" s="185"/>
      <c r="F555" s="69"/>
      <c r="G555" s="70"/>
      <c r="H555" s="70" t="s">
        <v>28</v>
      </c>
      <c r="I555" s="71"/>
    </row>
    <row r="556" ht="17.25" customHeight="1">
      <c r="A556" s="61"/>
      <c r="B556" s="63" t="b">
        <v>0</v>
      </c>
      <c r="C556" s="64">
        <v>549.0</v>
      </c>
      <c r="D556" s="66"/>
      <c r="E556" s="185"/>
      <c r="F556" s="69"/>
      <c r="G556" s="70"/>
      <c r="H556" s="70" t="s">
        <v>28</v>
      </c>
      <c r="I556" s="71"/>
    </row>
    <row r="557" ht="17.25" customHeight="1">
      <c r="A557" s="61"/>
      <c r="B557" s="63" t="b">
        <v>0</v>
      </c>
      <c r="C557" s="64">
        <v>550.0</v>
      </c>
      <c r="D557" s="66"/>
      <c r="E557" s="185"/>
      <c r="F557" s="69"/>
      <c r="G557" s="70"/>
      <c r="H557" s="70" t="s">
        <v>28</v>
      </c>
      <c r="I557" s="71"/>
    </row>
    <row r="558" ht="17.25" customHeight="1">
      <c r="A558" s="61"/>
      <c r="B558" s="63" t="b">
        <v>0</v>
      </c>
      <c r="C558" s="64">
        <v>551.0</v>
      </c>
      <c r="D558" s="66"/>
      <c r="E558" s="185"/>
      <c r="F558" s="69"/>
      <c r="G558" s="70"/>
      <c r="H558" s="70" t="s">
        <v>28</v>
      </c>
      <c r="I558" s="71"/>
    </row>
    <row r="559" ht="17.25" customHeight="1">
      <c r="A559" s="61"/>
      <c r="B559" s="63" t="b">
        <v>0</v>
      </c>
      <c r="C559" s="64">
        <v>552.0</v>
      </c>
      <c r="D559" s="66"/>
      <c r="E559" s="185"/>
      <c r="F559" s="69"/>
      <c r="G559" s="70"/>
      <c r="H559" s="70" t="s">
        <v>28</v>
      </c>
      <c r="I559" s="71"/>
    </row>
    <row r="560" ht="17.25" customHeight="1">
      <c r="A560" s="61"/>
      <c r="B560" s="63" t="b">
        <v>0</v>
      </c>
      <c r="C560" s="64">
        <v>553.0</v>
      </c>
      <c r="D560" s="66"/>
      <c r="E560" s="185"/>
      <c r="F560" s="69"/>
      <c r="G560" s="70"/>
      <c r="H560" s="70" t="s">
        <v>28</v>
      </c>
      <c r="I560" s="71"/>
    </row>
    <row r="561" ht="17.25" customHeight="1">
      <c r="A561" s="61"/>
      <c r="B561" s="63" t="b">
        <v>0</v>
      </c>
      <c r="C561" s="64">
        <v>554.0</v>
      </c>
      <c r="D561" s="66"/>
      <c r="E561" s="185"/>
      <c r="F561" s="69"/>
      <c r="G561" s="70"/>
      <c r="H561" s="70"/>
      <c r="I561" s="71"/>
    </row>
    <row r="562" ht="17.25" customHeight="1">
      <c r="A562" s="61"/>
      <c r="B562" s="63" t="b">
        <v>0</v>
      </c>
      <c r="C562" s="64">
        <v>555.0</v>
      </c>
      <c r="D562" s="66"/>
      <c r="E562" s="185"/>
      <c r="F562" s="69"/>
      <c r="G562" s="70"/>
      <c r="H562" s="70"/>
      <c r="I562" s="71"/>
    </row>
    <row r="563" ht="17.25" customHeight="1">
      <c r="A563" s="61"/>
      <c r="B563" s="63" t="b">
        <v>0</v>
      </c>
      <c r="C563" s="64">
        <v>556.0</v>
      </c>
      <c r="D563" s="66"/>
      <c r="E563" s="185"/>
      <c r="F563" s="69"/>
      <c r="G563" s="70"/>
      <c r="H563" s="70"/>
      <c r="I563" s="71"/>
    </row>
    <row r="564" ht="17.25" customHeight="1">
      <c r="A564" s="61"/>
      <c r="B564" s="63" t="b">
        <v>0</v>
      </c>
      <c r="C564" s="64">
        <v>557.0</v>
      </c>
      <c r="D564" s="66"/>
      <c r="E564" s="185"/>
      <c r="F564" s="69"/>
      <c r="G564" s="70"/>
      <c r="H564" s="70"/>
      <c r="I564" s="71"/>
    </row>
    <row r="565" ht="17.25" customHeight="1">
      <c r="A565" s="61"/>
      <c r="B565" s="63" t="b">
        <v>0</v>
      </c>
      <c r="C565" s="64">
        <v>558.0</v>
      </c>
      <c r="D565" s="66"/>
      <c r="E565" s="185"/>
      <c r="F565" s="69"/>
      <c r="G565" s="70"/>
      <c r="H565" s="70"/>
      <c r="I565" s="71"/>
    </row>
    <row r="566" ht="17.25" customHeight="1">
      <c r="A566" s="61"/>
      <c r="B566" s="63" t="b">
        <v>0</v>
      </c>
      <c r="C566" s="64">
        <v>559.0</v>
      </c>
      <c r="D566" s="66"/>
      <c r="E566" s="185"/>
      <c r="F566" s="69"/>
      <c r="G566" s="70"/>
      <c r="H566" s="70"/>
      <c r="I566" s="71"/>
    </row>
    <row r="567" ht="17.25" customHeight="1">
      <c r="A567" s="61"/>
      <c r="B567" s="63" t="b">
        <v>0</v>
      </c>
      <c r="C567" s="64">
        <v>560.0</v>
      </c>
      <c r="D567" s="66"/>
      <c r="E567" s="185"/>
      <c r="F567" s="69"/>
      <c r="G567" s="70"/>
      <c r="H567" s="70"/>
      <c r="I567" s="71"/>
    </row>
    <row r="568" ht="17.25" customHeight="1">
      <c r="A568" s="61"/>
      <c r="B568" s="63" t="b">
        <v>0</v>
      </c>
      <c r="C568" s="64">
        <v>561.0</v>
      </c>
      <c r="D568" s="66"/>
      <c r="E568" s="185"/>
      <c r="F568" s="69"/>
      <c r="G568" s="70"/>
      <c r="H568" s="70"/>
      <c r="I568" s="71"/>
    </row>
    <row r="569" ht="17.25" customHeight="1">
      <c r="A569" s="61"/>
      <c r="B569" s="63" t="b">
        <v>0</v>
      </c>
      <c r="C569" s="64">
        <v>562.0</v>
      </c>
      <c r="D569" s="66"/>
      <c r="E569" s="185"/>
      <c r="F569" s="69"/>
      <c r="G569" s="70"/>
      <c r="H569" s="70"/>
      <c r="I569" s="71"/>
    </row>
    <row r="570" ht="17.25" customHeight="1">
      <c r="A570" s="61"/>
      <c r="B570" s="63" t="b">
        <v>0</v>
      </c>
      <c r="C570" s="64">
        <v>563.0</v>
      </c>
      <c r="D570" s="66"/>
      <c r="E570" s="185"/>
      <c r="F570" s="69"/>
      <c r="G570" s="70"/>
      <c r="H570" s="70"/>
      <c r="I570" s="71"/>
    </row>
    <row r="571" ht="17.25" customHeight="1">
      <c r="A571" s="61"/>
      <c r="B571" s="63" t="b">
        <v>0</v>
      </c>
      <c r="C571" s="64">
        <v>564.0</v>
      </c>
      <c r="D571" s="66"/>
      <c r="E571" s="185"/>
      <c r="F571" s="69"/>
      <c r="G571" s="70"/>
      <c r="H571" s="70"/>
      <c r="I571" s="71"/>
    </row>
    <row r="572" ht="17.25" customHeight="1">
      <c r="A572" s="61"/>
      <c r="B572" s="63" t="b">
        <v>0</v>
      </c>
      <c r="C572" s="64">
        <v>565.0</v>
      </c>
      <c r="D572" s="66"/>
      <c r="E572" s="185"/>
      <c r="F572" s="69"/>
      <c r="G572" s="70"/>
      <c r="H572" s="70"/>
      <c r="I572" s="71"/>
    </row>
    <row r="573" ht="17.25" customHeight="1">
      <c r="A573" s="61"/>
      <c r="B573" s="63" t="b">
        <v>0</v>
      </c>
      <c r="C573" s="64">
        <v>566.0</v>
      </c>
      <c r="D573" s="66"/>
      <c r="E573" s="185"/>
      <c r="F573" s="69"/>
      <c r="G573" s="70"/>
      <c r="H573" s="70"/>
      <c r="I573" s="71"/>
    </row>
    <row r="574" ht="17.25" customHeight="1">
      <c r="A574" s="61"/>
      <c r="B574" s="63" t="b">
        <v>0</v>
      </c>
      <c r="C574" s="64">
        <v>567.0</v>
      </c>
      <c r="D574" s="66"/>
      <c r="E574" s="185"/>
      <c r="F574" s="69"/>
      <c r="G574" s="70"/>
      <c r="H574" s="70"/>
      <c r="I574" s="71"/>
    </row>
    <row r="575" ht="17.25" customHeight="1">
      <c r="A575" s="61"/>
      <c r="B575" s="63" t="b">
        <v>0</v>
      </c>
      <c r="C575" s="64">
        <v>568.0</v>
      </c>
      <c r="D575" s="66"/>
      <c r="E575" s="185"/>
      <c r="F575" s="69"/>
      <c r="G575" s="70"/>
      <c r="H575" s="70"/>
      <c r="I575" s="71"/>
    </row>
    <row r="576" ht="17.25" customHeight="1">
      <c r="A576" s="61"/>
      <c r="B576" s="63" t="b">
        <v>0</v>
      </c>
      <c r="C576" s="64">
        <v>569.0</v>
      </c>
      <c r="D576" s="66"/>
      <c r="E576" s="185"/>
      <c r="F576" s="69"/>
      <c r="G576" s="70"/>
      <c r="H576" s="70"/>
      <c r="I576" s="71"/>
    </row>
    <row r="577" ht="17.25" customHeight="1">
      <c r="A577" s="61"/>
      <c r="B577" s="63" t="b">
        <v>0</v>
      </c>
      <c r="C577" s="64">
        <v>570.0</v>
      </c>
      <c r="D577" s="66"/>
      <c r="E577" s="185"/>
      <c r="F577" s="69"/>
      <c r="G577" s="70"/>
      <c r="H577" s="70"/>
      <c r="I577" s="71"/>
    </row>
    <row r="578" ht="17.25" customHeight="1">
      <c r="A578" s="61"/>
      <c r="B578" s="63" t="b">
        <v>0</v>
      </c>
      <c r="C578" s="64">
        <v>571.0</v>
      </c>
      <c r="D578" s="66"/>
      <c r="E578" s="185"/>
      <c r="F578" s="69"/>
      <c r="G578" s="70"/>
      <c r="H578" s="70"/>
      <c r="I578" s="71"/>
    </row>
    <row r="579" ht="17.25" customHeight="1">
      <c r="A579" s="61"/>
      <c r="B579" s="63" t="b">
        <v>0</v>
      </c>
      <c r="C579" s="64">
        <v>572.0</v>
      </c>
      <c r="D579" s="66"/>
      <c r="E579" s="185"/>
      <c r="F579" s="69"/>
      <c r="G579" s="70"/>
      <c r="H579" s="70"/>
      <c r="I579" s="71"/>
    </row>
    <row r="580" ht="17.25" customHeight="1">
      <c r="A580" s="61"/>
      <c r="B580" s="63" t="b">
        <v>0</v>
      </c>
      <c r="C580" s="64">
        <v>573.0</v>
      </c>
      <c r="D580" s="66"/>
      <c r="E580" s="185"/>
      <c r="F580" s="69"/>
      <c r="G580" s="70"/>
      <c r="H580" s="70"/>
      <c r="I580" s="71"/>
    </row>
    <row r="581" ht="17.25" customHeight="1">
      <c r="A581" s="61"/>
      <c r="B581" s="63" t="b">
        <v>0</v>
      </c>
      <c r="C581" s="64">
        <v>574.0</v>
      </c>
      <c r="D581" s="66"/>
      <c r="E581" s="185"/>
      <c r="F581" s="69"/>
      <c r="G581" s="70"/>
      <c r="H581" s="70"/>
      <c r="I581" s="71"/>
    </row>
    <row r="582" ht="17.25" customHeight="1">
      <c r="A582" s="61"/>
      <c r="B582" s="63" t="b">
        <v>0</v>
      </c>
      <c r="C582" s="64">
        <v>575.0</v>
      </c>
      <c r="D582" s="66"/>
      <c r="E582" s="185"/>
      <c r="F582" s="69"/>
      <c r="G582" s="70"/>
      <c r="H582" s="70"/>
      <c r="I582" s="71"/>
    </row>
    <row r="583" ht="17.25" customHeight="1">
      <c r="A583" s="61"/>
      <c r="B583" s="63" t="b">
        <v>0</v>
      </c>
      <c r="C583" s="64">
        <v>576.0</v>
      </c>
      <c r="D583" s="66"/>
      <c r="E583" s="185"/>
      <c r="F583" s="69"/>
      <c r="G583" s="70"/>
      <c r="H583" s="70"/>
      <c r="I583" s="71"/>
    </row>
    <row r="584" ht="17.25" customHeight="1">
      <c r="A584" s="61"/>
      <c r="B584" s="63" t="b">
        <v>0</v>
      </c>
      <c r="C584" s="64">
        <v>577.0</v>
      </c>
      <c r="D584" s="66"/>
      <c r="E584" s="185"/>
      <c r="F584" s="69"/>
      <c r="G584" s="70"/>
      <c r="H584" s="70"/>
      <c r="I584" s="71"/>
    </row>
    <row r="585" ht="17.25" customHeight="1">
      <c r="A585" s="61"/>
      <c r="B585" s="63" t="b">
        <v>0</v>
      </c>
      <c r="C585" s="64">
        <v>578.0</v>
      </c>
      <c r="D585" s="66"/>
      <c r="E585" s="185"/>
      <c r="F585" s="69"/>
      <c r="G585" s="70"/>
      <c r="H585" s="70"/>
      <c r="I585" s="71"/>
    </row>
    <row r="586" ht="17.25" customHeight="1">
      <c r="A586" s="61"/>
      <c r="B586" s="63" t="b">
        <v>0</v>
      </c>
      <c r="C586" s="64">
        <v>579.0</v>
      </c>
      <c r="D586" s="66"/>
      <c r="E586" s="185"/>
      <c r="F586" s="69"/>
      <c r="G586" s="70"/>
      <c r="H586" s="70"/>
      <c r="I586" s="71"/>
    </row>
    <row r="587" ht="17.25" customHeight="1">
      <c r="A587" s="61"/>
      <c r="B587" s="63" t="b">
        <v>0</v>
      </c>
      <c r="C587" s="64">
        <v>580.0</v>
      </c>
      <c r="D587" s="66"/>
      <c r="E587" s="185"/>
      <c r="F587" s="69"/>
      <c r="G587" s="70"/>
      <c r="H587" s="70"/>
      <c r="I587" s="71"/>
    </row>
    <row r="588" ht="17.25" customHeight="1">
      <c r="A588" s="61"/>
      <c r="B588" s="63" t="b">
        <v>0</v>
      </c>
      <c r="C588" s="64">
        <v>581.0</v>
      </c>
      <c r="D588" s="66"/>
      <c r="E588" s="185"/>
      <c r="F588" s="69"/>
      <c r="G588" s="70"/>
      <c r="H588" s="70"/>
      <c r="I588" s="71"/>
    </row>
    <row r="589" ht="17.25" customHeight="1">
      <c r="A589" s="61"/>
      <c r="B589" s="63" t="b">
        <v>0</v>
      </c>
      <c r="C589" s="64">
        <v>582.0</v>
      </c>
      <c r="D589" s="66"/>
      <c r="E589" s="185"/>
      <c r="F589" s="69"/>
      <c r="G589" s="70"/>
      <c r="H589" s="70"/>
      <c r="I589" s="71"/>
    </row>
    <row r="590" ht="17.25" customHeight="1">
      <c r="A590" s="61"/>
      <c r="B590" s="63" t="b">
        <v>0</v>
      </c>
      <c r="C590" s="64">
        <v>583.0</v>
      </c>
      <c r="D590" s="66"/>
      <c r="E590" s="185"/>
      <c r="F590" s="69"/>
      <c r="G590" s="70"/>
      <c r="H590" s="70"/>
      <c r="I590" s="71"/>
    </row>
    <row r="591" ht="17.25" customHeight="1">
      <c r="A591" s="61"/>
      <c r="B591" s="63" t="b">
        <v>0</v>
      </c>
      <c r="C591" s="64">
        <v>584.0</v>
      </c>
      <c r="D591" s="66"/>
      <c r="E591" s="185"/>
      <c r="F591" s="69"/>
      <c r="G591" s="70"/>
      <c r="H591" s="70"/>
      <c r="I591" s="71"/>
    </row>
    <row r="592" ht="17.25" customHeight="1">
      <c r="A592" s="61"/>
      <c r="B592" s="63" t="b">
        <v>0</v>
      </c>
      <c r="C592" s="64">
        <v>585.0</v>
      </c>
      <c r="D592" s="66"/>
      <c r="E592" s="185"/>
      <c r="F592" s="69"/>
      <c r="G592" s="70"/>
      <c r="H592" s="70"/>
      <c r="I592" s="71"/>
    </row>
    <row r="593" ht="17.25" customHeight="1">
      <c r="A593" s="61"/>
      <c r="B593" s="63" t="b">
        <v>0</v>
      </c>
      <c r="C593" s="64">
        <v>586.0</v>
      </c>
      <c r="D593" s="66"/>
      <c r="E593" s="185"/>
      <c r="F593" s="69"/>
      <c r="G593" s="70"/>
      <c r="H593" s="70"/>
      <c r="I593" s="71"/>
    </row>
    <row r="594" ht="17.25" customHeight="1">
      <c r="A594" s="61"/>
      <c r="B594" s="63" t="b">
        <v>0</v>
      </c>
      <c r="C594" s="64">
        <v>587.0</v>
      </c>
      <c r="D594" s="66"/>
      <c r="E594" s="185"/>
      <c r="F594" s="69"/>
      <c r="G594" s="70"/>
      <c r="H594" s="70"/>
      <c r="I594" s="71"/>
    </row>
    <row r="595" ht="17.25" customHeight="1">
      <c r="A595" s="61"/>
      <c r="B595" s="63" t="b">
        <v>0</v>
      </c>
      <c r="C595" s="64">
        <v>588.0</v>
      </c>
      <c r="D595" s="66"/>
      <c r="E595" s="185"/>
      <c r="F595" s="69"/>
      <c r="G595" s="70"/>
      <c r="H595" s="70"/>
      <c r="I595" s="71"/>
    </row>
    <row r="596" ht="17.25" customHeight="1">
      <c r="A596" s="61"/>
      <c r="B596" s="63" t="b">
        <v>0</v>
      </c>
      <c r="C596" s="64">
        <v>589.0</v>
      </c>
      <c r="D596" s="66"/>
      <c r="E596" s="185"/>
      <c r="F596" s="69"/>
      <c r="G596" s="70"/>
      <c r="H596" s="70"/>
      <c r="I596" s="71"/>
    </row>
    <row r="597" ht="17.25" customHeight="1">
      <c r="A597" s="61"/>
      <c r="B597" s="63" t="b">
        <v>0</v>
      </c>
      <c r="C597" s="64">
        <v>590.0</v>
      </c>
      <c r="D597" s="66"/>
      <c r="E597" s="185"/>
      <c r="F597" s="69"/>
      <c r="G597" s="70"/>
      <c r="H597" s="70"/>
      <c r="I597" s="71"/>
    </row>
    <row r="598" ht="17.25" customHeight="1">
      <c r="A598" s="61"/>
      <c r="B598" s="63" t="b">
        <v>0</v>
      </c>
      <c r="C598" s="64">
        <v>591.0</v>
      </c>
      <c r="D598" s="66"/>
      <c r="E598" s="185"/>
      <c r="F598" s="69"/>
      <c r="G598" s="70"/>
      <c r="H598" s="70"/>
      <c r="I598" s="71"/>
    </row>
    <row r="599" ht="17.25" customHeight="1">
      <c r="A599" s="61"/>
      <c r="B599" s="63" t="b">
        <v>0</v>
      </c>
      <c r="C599" s="64">
        <v>592.0</v>
      </c>
      <c r="D599" s="66"/>
      <c r="E599" s="185"/>
      <c r="F599" s="69"/>
      <c r="G599" s="70"/>
      <c r="H599" s="70"/>
      <c r="I599" s="71"/>
    </row>
    <row r="600" ht="17.25" customHeight="1">
      <c r="A600" s="61"/>
      <c r="B600" s="63" t="b">
        <v>0</v>
      </c>
      <c r="C600" s="64">
        <v>593.0</v>
      </c>
      <c r="D600" s="66"/>
      <c r="E600" s="185"/>
      <c r="F600" s="69"/>
      <c r="G600" s="70"/>
      <c r="H600" s="70"/>
      <c r="I600" s="71"/>
    </row>
    <row r="601" ht="17.25" customHeight="1">
      <c r="A601" s="61"/>
      <c r="B601" s="63" t="b">
        <v>0</v>
      </c>
      <c r="C601" s="64">
        <v>594.0</v>
      </c>
      <c r="D601" s="66"/>
      <c r="E601" s="185"/>
      <c r="F601" s="69"/>
      <c r="G601" s="70"/>
      <c r="H601" s="70"/>
      <c r="I601" s="71"/>
    </row>
    <row r="602" ht="17.25" customHeight="1">
      <c r="A602" s="61"/>
      <c r="B602" s="63" t="b">
        <v>0</v>
      </c>
      <c r="C602" s="64">
        <v>595.0</v>
      </c>
      <c r="D602" s="66"/>
      <c r="E602" s="185"/>
      <c r="F602" s="69"/>
      <c r="G602" s="70"/>
      <c r="H602" s="70"/>
      <c r="I602" s="71"/>
    </row>
    <row r="603" ht="17.25" customHeight="1">
      <c r="A603" s="61"/>
      <c r="B603" s="63" t="b">
        <v>0</v>
      </c>
      <c r="C603" s="64">
        <v>596.0</v>
      </c>
      <c r="D603" s="66"/>
      <c r="E603" s="185"/>
      <c r="F603" s="69"/>
      <c r="G603" s="70"/>
      <c r="H603" s="70"/>
      <c r="I603" s="71"/>
    </row>
    <row r="604" ht="17.25" customHeight="1">
      <c r="A604" s="61"/>
      <c r="B604" s="63" t="b">
        <v>0</v>
      </c>
      <c r="C604" s="64">
        <v>597.0</v>
      </c>
      <c r="D604" s="66"/>
      <c r="E604" s="185"/>
      <c r="F604" s="69"/>
      <c r="G604" s="70"/>
      <c r="H604" s="70"/>
      <c r="I604" s="71"/>
    </row>
    <row r="605" ht="17.25" customHeight="1">
      <c r="A605" s="61"/>
      <c r="B605" s="63" t="b">
        <v>0</v>
      </c>
      <c r="C605" s="64">
        <v>598.0</v>
      </c>
      <c r="D605" s="66"/>
      <c r="E605" s="185"/>
      <c r="F605" s="69"/>
      <c r="G605" s="70"/>
      <c r="H605" s="70"/>
      <c r="I605" s="71"/>
    </row>
    <row r="606" ht="17.25" customHeight="1">
      <c r="A606" s="61"/>
      <c r="B606" s="63" t="b">
        <v>0</v>
      </c>
      <c r="C606" s="64">
        <v>599.0</v>
      </c>
      <c r="D606" s="66"/>
      <c r="E606" s="185"/>
      <c r="F606" s="69"/>
      <c r="G606" s="70"/>
      <c r="H606" s="70"/>
      <c r="I606" s="71"/>
    </row>
    <row r="607" ht="17.25" customHeight="1">
      <c r="A607" s="61"/>
      <c r="B607" s="63" t="b">
        <v>0</v>
      </c>
      <c r="C607" s="64">
        <v>600.0</v>
      </c>
      <c r="D607" s="66"/>
      <c r="E607" s="185"/>
      <c r="F607" s="69"/>
      <c r="G607" s="70"/>
      <c r="H607" s="70"/>
      <c r="I607" s="71"/>
    </row>
    <row r="608" ht="17.25" customHeight="1">
      <c r="A608" s="61"/>
      <c r="B608" s="63" t="b">
        <v>0</v>
      </c>
      <c r="C608" s="64">
        <v>601.0</v>
      </c>
      <c r="D608" s="66"/>
      <c r="E608" s="185"/>
      <c r="F608" s="69"/>
      <c r="G608" s="70"/>
      <c r="H608" s="70"/>
      <c r="I608" s="71"/>
    </row>
    <row r="609" ht="17.25" customHeight="1">
      <c r="A609" s="61"/>
      <c r="B609" s="63" t="b">
        <v>0</v>
      </c>
      <c r="C609" s="64">
        <v>602.0</v>
      </c>
      <c r="D609" s="66"/>
      <c r="E609" s="185"/>
      <c r="F609" s="69"/>
      <c r="G609" s="70"/>
      <c r="H609" s="70"/>
      <c r="I609" s="71"/>
    </row>
    <row r="610" ht="17.25" customHeight="1">
      <c r="A610" s="61"/>
      <c r="B610" s="63" t="b">
        <v>0</v>
      </c>
      <c r="C610" s="64">
        <v>603.0</v>
      </c>
      <c r="D610" s="66"/>
      <c r="E610" s="185"/>
      <c r="F610" s="69"/>
      <c r="G610" s="70"/>
      <c r="H610" s="70"/>
      <c r="I610" s="71"/>
    </row>
    <row r="611" ht="17.25" customHeight="1">
      <c r="A611" s="61"/>
      <c r="B611" s="63" t="b">
        <v>0</v>
      </c>
      <c r="C611" s="64">
        <v>604.0</v>
      </c>
      <c r="D611" s="66"/>
      <c r="E611" s="185"/>
      <c r="F611" s="69"/>
      <c r="G611" s="70"/>
      <c r="H611" s="70"/>
      <c r="I611" s="71"/>
    </row>
    <row r="612" ht="17.25" customHeight="1">
      <c r="A612" s="61"/>
      <c r="B612" s="63" t="b">
        <v>0</v>
      </c>
      <c r="C612" s="64">
        <v>605.0</v>
      </c>
      <c r="D612" s="66"/>
      <c r="E612" s="185"/>
      <c r="F612" s="69"/>
      <c r="G612" s="70"/>
      <c r="H612" s="70"/>
      <c r="I612" s="71"/>
    </row>
    <row r="613" ht="17.25" customHeight="1">
      <c r="A613" s="61"/>
      <c r="B613" s="63" t="b">
        <v>0</v>
      </c>
      <c r="C613" s="64">
        <v>606.0</v>
      </c>
      <c r="D613" s="66"/>
      <c r="E613" s="185"/>
      <c r="F613" s="69"/>
      <c r="G613" s="70"/>
      <c r="H613" s="70"/>
      <c r="I613" s="71"/>
    </row>
    <row r="614" ht="17.25" customHeight="1">
      <c r="A614" s="61"/>
      <c r="B614" s="63" t="b">
        <v>0</v>
      </c>
      <c r="C614" s="64">
        <v>607.0</v>
      </c>
      <c r="D614" s="66"/>
      <c r="E614" s="185"/>
      <c r="F614" s="69"/>
      <c r="G614" s="70"/>
      <c r="H614" s="70"/>
      <c r="I614" s="71"/>
    </row>
    <row r="615" ht="17.25" customHeight="1">
      <c r="A615" s="61"/>
      <c r="B615" s="63" t="b">
        <v>0</v>
      </c>
      <c r="C615" s="64">
        <v>608.0</v>
      </c>
      <c r="D615" s="66"/>
      <c r="E615" s="185"/>
      <c r="F615" s="69"/>
      <c r="G615" s="70"/>
      <c r="H615" s="70"/>
      <c r="I615" s="71"/>
    </row>
    <row r="616" ht="17.25" customHeight="1">
      <c r="A616" s="61"/>
      <c r="B616" s="63" t="b">
        <v>0</v>
      </c>
      <c r="C616" s="64">
        <v>609.0</v>
      </c>
      <c r="D616" s="66"/>
      <c r="E616" s="185"/>
      <c r="F616" s="69"/>
      <c r="G616" s="70"/>
      <c r="H616" s="70"/>
      <c r="I616" s="71"/>
    </row>
    <row r="617" ht="17.25" customHeight="1">
      <c r="A617" s="61"/>
      <c r="B617" s="63" t="b">
        <v>0</v>
      </c>
      <c r="C617" s="64">
        <v>610.0</v>
      </c>
      <c r="D617" s="66"/>
      <c r="E617" s="185"/>
      <c r="F617" s="69"/>
      <c r="G617" s="70"/>
      <c r="H617" s="70"/>
      <c r="I617" s="71"/>
    </row>
    <row r="618" ht="17.25" customHeight="1">
      <c r="A618" s="61"/>
      <c r="B618" s="63" t="b">
        <v>0</v>
      </c>
      <c r="C618" s="64">
        <v>611.0</v>
      </c>
      <c r="D618" s="66"/>
      <c r="E618" s="185"/>
      <c r="F618" s="69"/>
      <c r="G618" s="70"/>
      <c r="H618" s="70"/>
      <c r="I618" s="71"/>
    </row>
    <row r="619" ht="17.25" customHeight="1">
      <c r="A619" s="61"/>
      <c r="B619" s="63" t="b">
        <v>0</v>
      </c>
      <c r="C619" s="64">
        <v>612.0</v>
      </c>
      <c r="D619" s="66"/>
      <c r="E619" s="185"/>
      <c r="F619" s="69"/>
      <c r="G619" s="70"/>
      <c r="H619" s="70"/>
      <c r="I619" s="71"/>
    </row>
    <row r="620" ht="17.25" customHeight="1">
      <c r="A620" s="61"/>
      <c r="B620" s="63" t="b">
        <v>0</v>
      </c>
      <c r="C620" s="64">
        <v>613.0</v>
      </c>
      <c r="D620" s="66"/>
      <c r="E620" s="185"/>
      <c r="F620" s="69"/>
      <c r="G620" s="70"/>
      <c r="H620" s="70"/>
      <c r="I620" s="71"/>
    </row>
    <row r="621" ht="17.25" customHeight="1">
      <c r="A621" s="61"/>
      <c r="B621" s="63" t="b">
        <v>0</v>
      </c>
      <c r="C621" s="64">
        <v>614.0</v>
      </c>
      <c r="D621" s="66"/>
      <c r="E621" s="185"/>
      <c r="F621" s="69"/>
      <c r="G621" s="70"/>
      <c r="H621" s="70"/>
      <c r="I621" s="71"/>
    </row>
    <row r="622" ht="17.25" customHeight="1">
      <c r="A622" s="61"/>
      <c r="B622" s="63" t="b">
        <v>0</v>
      </c>
      <c r="C622" s="64">
        <v>615.0</v>
      </c>
      <c r="D622" s="66"/>
      <c r="E622" s="185"/>
      <c r="F622" s="69"/>
      <c r="G622" s="70"/>
      <c r="H622" s="70"/>
      <c r="I622" s="71"/>
    </row>
    <row r="623" ht="17.25" customHeight="1">
      <c r="A623" s="61"/>
      <c r="B623" s="63" t="b">
        <v>0</v>
      </c>
      <c r="C623" s="64">
        <v>616.0</v>
      </c>
      <c r="D623" s="66"/>
      <c r="E623" s="185"/>
      <c r="F623" s="69"/>
      <c r="G623" s="70"/>
      <c r="H623" s="70"/>
      <c r="I623" s="71"/>
    </row>
    <row r="624" ht="17.25" customHeight="1">
      <c r="A624" s="61"/>
      <c r="B624" s="63" t="b">
        <v>0</v>
      </c>
      <c r="C624" s="64">
        <v>617.0</v>
      </c>
      <c r="D624" s="66"/>
      <c r="E624" s="185"/>
      <c r="F624" s="69"/>
      <c r="G624" s="70"/>
      <c r="H624" s="70"/>
      <c r="I624" s="71"/>
    </row>
    <row r="625" ht="17.25" customHeight="1">
      <c r="A625" s="61"/>
      <c r="B625" s="63" t="b">
        <v>0</v>
      </c>
      <c r="C625" s="64">
        <v>618.0</v>
      </c>
      <c r="D625" s="66"/>
      <c r="E625" s="185"/>
      <c r="F625" s="69"/>
      <c r="G625" s="70"/>
      <c r="H625" s="70"/>
      <c r="I625" s="71"/>
    </row>
    <row r="626" ht="17.25" customHeight="1">
      <c r="A626" s="61"/>
      <c r="B626" s="63" t="b">
        <v>0</v>
      </c>
      <c r="C626" s="64">
        <v>619.0</v>
      </c>
      <c r="D626" s="66"/>
      <c r="E626" s="185"/>
      <c r="F626" s="69"/>
      <c r="G626" s="70"/>
      <c r="H626" s="70"/>
      <c r="I626" s="71"/>
    </row>
    <row r="627" ht="17.25" customHeight="1">
      <c r="A627" s="61"/>
      <c r="B627" s="63" t="b">
        <v>0</v>
      </c>
      <c r="C627" s="64">
        <v>620.0</v>
      </c>
      <c r="D627" s="66"/>
      <c r="E627" s="185"/>
      <c r="F627" s="69"/>
      <c r="G627" s="70"/>
      <c r="H627" s="70"/>
      <c r="I627" s="71"/>
    </row>
    <row r="628" ht="17.25" customHeight="1">
      <c r="A628" s="61"/>
      <c r="B628" s="63" t="b">
        <v>0</v>
      </c>
      <c r="C628" s="64">
        <v>621.0</v>
      </c>
      <c r="D628" s="66"/>
      <c r="E628" s="185"/>
      <c r="F628" s="69"/>
      <c r="G628" s="70"/>
      <c r="H628" s="70"/>
      <c r="I628" s="71"/>
    </row>
    <row r="629" ht="17.25" customHeight="1">
      <c r="A629" s="61"/>
      <c r="B629" s="63" t="b">
        <v>0</v>
      </c>
      <c r="C629" s="64">
        <v>622.0</v>
      </c>
      <c r="D629" s="66"/>
      <c r="E629" s="185"/>
      <c r="F629" s="69"/>
      <c r="G629" s="70"/>
      <c r="H629" s="70"/>
      <c r="I629" s="71"/>
    </row>
    <row r="630" ht="17.25" customHeight="1">
      <c r="A630" s="61"/>
      <c r="B630" s="63" t="b">
        <v>0</v>
      </c>
      <c r="C630" s="64">
        <v>623.0</v>
      </c>
      <c r="D630" s="66"/>
      <c r="E630" s="185"/>
      <c r="F630" s="69"/>
      <c r="G630" s="70"/>
      <c r="H630" s="70"/>
      <c r="I630" s="71"/>
    </row>
    <row r="631" ht="17.25" customHeight="1">
      <c r="A631" s="61"/>
      <c r="B631" s="63" t="b">
        <v>0</v>
      </c>
      <c r="C631" s="64">
        <v>624.0</v>
      </c>
      <c r="D631" s="66"/>
      <c r="E631" s="185"/>
      <c r="F631" s="69"/>
      <c r="G631" s="70"/>
      <c r="H631" s="70"/>
      <c r="I631" s="71"/>
    </row>
    <row r="632" ht="17.25" customHeight="1">
      <c r="A632" s="61"/>
      <c r="B632" s="63" t="b">
        <v>0</v>
      </c>
      <c r="C632" s="64">
        <v>625.0</v>
      </c>
      <c r="D632" s="66"/>
      <c r="E632" s="185"/>
      <c r="F632" s="69"/>
      <c r="G632" s="70"/>
      <c r="H632" s="70"/>
      <c r="I632" s="71"/>
    </row>
    <row r="633" ht="17.25" customHeight="1">
      <c r="A633" s="61"/>
      <c r="B633" s="63" t="b">
        <v>0</v>
      </c>
      <c r="C633" s="64">
        <v>626.0</v>
      </c>
      <c r="D633" s="66"/>
      <c r="E633" s="185"/>
      <c r="F633" s="69"/>
      <c r="G633" s="70"/>
      <c r="H633" s="70"/>
      <c r="I633" s="71"/>
    </row>
    <row r="634" ht="17.25" customHeight="1">
      <c r="A634" s="61"/>
      <c r="B634" s="63" t="b">
        <v>0</v>
      </c>
      <c r="C634" s="64">
        <v>627.0</v>
      </c>
      <c r="D634" s="66"/>
      <c r="E634" s="185"/>
      <c r="F634" s="69"/>
      <c r="G634" s="70"/>
      <c r="H634" s="70"/>
      <c r="I634" s="71"/>
    </row>
    <row r="635" ht="17.25" customHeight="1">
      <c r="A635" s="61"/>
      <c r="B635" s="63" t="b">
        <v>0</v>
      </c>
      <c r="C635" s="64">
        <v>628.0</v>
      </c>
      <c r="D635" s="66"/>
      <c r="E635" s="185"/>
      <c r="F635" s="69"/>
      <c r="G635" s="70"/>
      <c r="H635" s="70"/>
      <c r="I635" s="71"/>
    </row>
    <row r="636" ht="17.25" customHeight="1">
      <c r="A636" s="61"/>
      <c r="B636" s="63" t="b">
        <v>0</v>
      </c>
      <c r="C636" s="64">
        <v>629.0</v>
      </c>
      <c r="D636" s="66"/>
      <c r="E636" s="185"/>
      <c r="F636" s="69"/>
      <c r="G636" s="70"/>
      <c r="H636" s="70"/>
      <c r="I636" s="71"/>
    </row>
    <row r="637" ht="17.25" customHeight="1">
      <c r="A637" s="61"/>
      <c r="B637" s="63" t="b">
        <v>0</v>
      </c>
      <c r="C637" s="64">
        <v>630.0</v>
      </c>
      <c r="D637" s="66"/>
      <c r="E637" s="185"/>
      <c r="F637" s="69"/>
      <c r="G637" s="70"/>
      <c r="H637" s="70"/>
      <c r="I637" s="71"/>
    </row>
    <row r="638" ht="17.25" customHeight="1">
      <c r="A638" s="61"/>
      <c r="B638" s="63" t="b">
        <v>0</v>
      </c>
      <c r="C638" s="64">
        <v>631.0</v>
      </c>
      <c r="D638" s="66"/>
      <c r="E638" s="185"/>
      <c r="F638" s="69"/>
      <c r="G638" s="70"/>
      <c r="H638" s="70"/>
      <c r="I638" s="71"/>
    </row>
    <row r="639" ht="17.25" customHeight="1">
      <c r="A639" s="61"/>
      <c r="B639" s="63" t="b">
        <v>0</v>
      </c>
      <c r="C639" s="64">
        <v>632.0</v>
      </c>
      <c r="D639" s="66"/>
      <c r="E639" s="185"/>
      <c r="F639" s="69"/>
      <c r="G639" s="70"/>
      <c r="H639" s="70"/>
      <c r="I639" s="71"/>
    </row>
    <row r="640" ht="17.25" customHeight="1">
      <c r="A640" s="61"/>
      <c r="B640" s="63" t="b">
        <v>0</v>
      </c>
      <c r="C640" s="64">
        <v>633.0</v>
      </c>
      <c r="D640" s="66"/>
      <c r="E640" s="185"/>
      <c r="F640" s="69"/>
      <c r="G640" s="70"/>
      <c r="H640" s="70"/>
      <c r="I640" s="71"/>
    </row>
    <row r="641" ht="17.25" customHeight="1">
      <c r="A641" s="61"/>
      <c r="B641" s="63" t="b">
        <v>0</v>
      </c>
      <c r="C641" s="64">
        <v>634.0</v>
      </c>
      <c r="D641" s="66"/>
      <c r="E641" s="185"/>
      <c r="F641" s="69"/>
      <c r="G641" s="70"/>
      <c r="H641" s="70"/>
      <c r="I641" s="71"/>
    </row>
    <row r="642" ht="17.25" customHeight="1">
      <c r="A642" s="61"/>
      <c r="B642" s="63" t="b">
        <v>0</v>
      </c>
      <c r="C642" s="64">
        <v>635.0</v>
      </c>
      <c r="D642" s="66"/>
      <c r="E642" s="185"/>
      <c r="F642" s="69"/>
      <c r="G642" s="70"/>
      <c r="H642" s="70"/>
      <c r="I642" s="71"/>
    </row>
    <row r="643" ht="17.25" customHeight="1">
      <c r="A643" s="61"/>
      <c r="B643" s="63" t="b">
        <v>0</v>
      </c>
      <c r="C643" s="64">
        <v>636.0</v>
      </c>
      <c r="D643" s="66"/>
      <c r="E643" s="185"/>
      <c r="F643" s="69"/>
      <c r="G643" s="70"/>
      <c r="H643" s="70"/>
      <c r="I643" s="71"/>
    </row>
    <row r="644" ht="17.25" customHeight="1">
      <c r="A644" s="61"/>
      <c r="B644" s="63" t="b">
        <v>0</v>
      </c>
      <c r="C644" s="64">
        <v>637.0</v>
      </c>
      <c r="D644" s="66"/>
      <c r="E644" s="185"/>
      <c r="F644" s="69"/>
      <c r="G644" s="70"/>
      <c r="H644" s="70"/>
      <c r="I644" s="71"/>
    </row>
    <row r="645" ht="17.25" customHeight="1">
      <c r="A645" s="61"/>
      <c r="B645" s="63" t="b">
        <v>0</v>
      </c>
      <c r="C645" s="64">
        <v>638.0</v>
      </c>
      <c r="D645" s="66"/>
      <c r="E645" s="185"/>
      <c r="F645" s="69"/>
      <c r="G645" s="70"/>
      <c r="H645" s="70"/>
      <c r="I645" s="71"/>
    </row>
    <row r="646" ht="17.25" customHeight="1">
      <c r="A646" s="61"/>
      <c r="B646" s="63" t="b">
        <v>0</v>
      </c>
      <c r="C646" s="64">
        <v>639.0</v>
      </c>
      <c r="D646" s="66"/>
      <c r="E646" s="185"/>
      <c r="F646" s="69"/>
      <c r="G646" s="70"/>
      <c r="H646" s="70"/>
      <c r="I646" s="71"/>
    </row>
    <row r="647" ht="17.25" customHeight="1">
      <c r="A647" s="61"/>
      <c r="B647" s="63" t="b">
        <v>0</v>
      </c>
      <c r="C647" s="64">
        <v>640.0</v>
      </c>
      <c r="D647" s="66"/>
      <c r="E647" s="185"/>
      <c r="F647" s="69"/>
      <c r="G647" s="70"/>
      <c r="H647" s="70"/>
      <c r="I647" s="71"/>
    </row>
    <row r="648" ht="17.25" customHeight="1">
      <c r="A648" s="61"/>
      <c r="B648" s="63" t="b">
        <v>0</v>
      </c>
      <c r="C648" s="64">
        <v>641.0</v>
      </c>
      <c r="D648" s="66"/>
      <c r="E648" s="185"/>
      <c r="F648" s="69"/>
      <c r="G648" s="70"/>
      <c r="H648" s="70"/>
      <c r="I648" s="71"/>
    </row>
    <row r="649" ht="17.25" customHeight="1">
      <c r="A649" s="61"/>
      <c r="B649" s="63" t="b">
        <v>0</v>
      </c>
      <c r="C649" s="64">
        <v>642.0</v>
      </c>
      <c r="D649" s="66"/>
      <c r="E649" s="185"/>
      <c r="F649" s="69"/>
      <c r="G649" s="70"/>
      <c r="H649" s="70"/>
      <c r="I649" s="71"/>
    </row>
    <row r="650" ht="17.25" customHeight="1">
      <c r="A650" s="61"/>
      <c r="B650" s="63" t="b">
        <v>0</v>
      </c>
      <c r="C650" s="64">
        <v>643.0</v>
      </c>
      <c r="D650" s="66"/>
      <c r="E650" s="185"/>
      <c r="F650" s="69"/>
      <c r="G650" s="70"/>
      <c r="H650" s="70"/>
      <c r="I650" s="71"/>
    </row>
    <row r="651" ht="17.25" customHeight="1">
      <c r="A651" s="61"/>
      <c r="B651" s="63" t="b">
        <v>0</v>
      </c>
      <c r="C651" s="64">
        <v>644.0</v>
      </c>
      <c r="D651" s="66"/>
      <c r="E651" s="185"/>
      <c r="F651" s="69"/>
      <c r="G651" s="70"/>
      <c r="H651" s="70"/>
      <c r="I651" s="71"/>
    </row>
    <row r="652" ht="17.25" customHeight="1">
      <c r="A652" s="61"/>
      <c r="B652" s="63" t="b">
        <v>0</v>
      </c>
      <c r="C652" s="64">
        <v>645.0</v>
      </c>
      <c r="D652" s="66"/>
      <c r="E652" s="185"/>
      <c r="F652" s="69"/>
      <c r="G652" s="70"/>
      <c r="H652" s="70"/>
      <c r="I652" s="71"/>
    </row>
    <row r="653" ht="17.25" customHeight="1">
      <c r="A653" s="61"/>
      <c r="B653" s="63" t="b">
        <v>0</v>
      </c>
      <c r="C653" s="64">
        <v>646.0</v>
      </c>
      <c r="D653" s="66"/>
      <c r="E653" s="185"/>
      <c r="F653" s="69"/>
      <c r="G653" s="70"/>
      <c r="H653" s="70"/>
      <c r="I653" s="71"/>
    </row>
    <row r="654" ht="17.25" customHeight="1">
      <c r="A654" s="61"/>
      <c r="B654" s="63" t="b">
        <v>0</v>
      </c>
      <c r="C654" s="64">
        <v>647.0</v>
      </c>
      <c r="D654" s="66"/>
      <c r="E654" s="185"/>
      <c r="F654" s="69"/>
      <c r="G654" s="70"/>
      <c r="H654" s="70"/>
      <c r="I654" s="71"/>
    </row>
    <row r="655" ht="17.25" customHeight="1">
      <c r="A655" s="61"/>
      <c r="B655" s="63" t="b">
        <v>0</v>
      </c>
      <c r="C655" s="64">
        <v>648.0</v>
      </c>
      <c r="D655" s="66"/>
      <c r="E655" s="185"/>
      <c r="F655" s="69"/>
      <c r="G655" s="70"/>
      <c r="H655" s="70"/>
      <c r="I655" s="71"/>
    </row>
    <row r="656" ht="17.25" customHeight="1">
      <c r="A656" s="61"/>
      <c r="B656" s="63" t="b">
        <v>0</v>
      </c>
      <c r="C656" s="64">
        <v>649.0</v>
      </c>
      <c r="D656" s="66"/>
      <c r="E656" s="185"/>
      <c r="F656" s="69"/>
      <c r="G656" s="70"/>
      <c r="H656" s="70"/>
      <c r="I656" s="71"/>
    </row>
    <row r="657" ht="17.25" customHeight="1">
      <c r="A657" s="61"/>
      <c r="B657" s="63" t="b">
        <v>0</v>
      </c>
      <c r="C657" s="64">
        <v>650.0</v>
      </c>
      <c r="D657" s="66"/>
      <c r="E657" s="185"/>
      <c r="F657" s="69"/>
      <c r="G657" s="70"/>
      <c r="H657" s="70"/>
      <c r="I657" s="71"/>
    </row>
    <row r="658" ht="17.25" customHeight="1">
      <c r="A658" s="61"/>
      <c r="B658" s="63" t="b">
        <v>0</v>
      </c>
      <c r="C658" s="64">
        <v>651.0</v>
      </c>
      <c r="D658" s="66"/>
      <c r="E658" s="185"/>
      <c r="F658" s="69"/>
      <c r="G658" s="70"/>
      <c r="H658" s="70"/>
      <c r="I658" s="71"/>
    </row>
    <row r="659" ht="17.25" customHeight="1">
      <c r="A659" s="61"/>
      <c r="B659" s="63" t="b">
        <v>0</v>
      </c>
      <c r="C659" s="64">
        <v>652.0</v>
      </c>
      <c r="D659" s="66"/>
      <c r="E659" s="185"/>
      <c r="F659" s="69"/>
      <c r="G659" s="70"/>
      <c r="H659" s="70"/>
      <c r="I659" s="71"/>
    </row>
    <row r="660" ht="17.25" customHeight="1">
      <c r="A660" s="61"/>
      <c r="B660" s="63" t="b">
        <v>0</v>
      </c>
      <c r="C660" s="64">
        <v>653.0</v>
      </c>
      <c r="D660" s="66"/>
      <c r="E660" s="185"/>
      <c r="F660" s="69"/>
      <c r="G660" s="70"/>
      <c r="H660" s="70"/>
      <c r="I660" s="71"/>
    </row>
    <row r="661" ht="17.25" customHeight="1">
      <c r="A661" s="61"/>
      <c r="B661" s="63" t="b">
        <v>0</v>
      </c>
      <c r="C661" s="64">
        <v>654.0</v>
      </c>
      <c r="D661" s="66"/>
      <c r="E661" s="185"/>
      <c r="F661" s="69"/>
      <c r="G661" s="70"/>
      <c r="H661" s="70"/>
      <c r="I661" s="71"/>
    </row>
    <row r="662" ht="17.25" customHeight="1">
      <c r="A662" s="61"/>
      <c r="B662" s="63" t="b">
        <v>0</v>
      </c>
      <c r="C662" s="64">
        <v>655.0</v>
      </c>
      <c r="D662" s="66"/>
      <c r="E662" s="185"/>
      <c r="F662" s="69"/>
      <c r="G662" s="70"/>
      <c r="H662" s="70"/>
      <c r="I662" s="71"/>
    </row>
    <row r="663" ht="17.25" customHeight="1">
      <c r="A663" s="61"/>
      <c r="B663" s="63" t="b">
        <v>0</v>
      </c>
      <c r="C663" s="64">
        <v>656.0</v>
      </c>
      <c r="D663" s="66"/>
      <c r="E663" s="185"/>
      <c r="F663" s="69"/>
      <c r="G663" s="70"/>
      <c r="H663" s="70"/>
      <c r="I663" s="71"/>
    </row>
    <row r="664" ht="17.25" customHeight="1">
      <c r="A664" s="61"/>
      <c r="B664" s="63" t="b">
        <v>0</v>
      </c>
      <c r="C664" s="64">
        <v>657.0</v>
      </c>
      <c r="D664" s="66"/>
      <c r="E664" s="185"/>
      <c r="F664" s="69"/>
      <c r="G664" s="70"/>
      <c r="H664" s="70"/>
      <c r="I664" s="71"/>
    </row>
    <row r="665" ht="17.25" customHeight="1">
      <c r="A665" s="61"/>
      <c r="B665" s="63" t="b">
        <v>0</v>
      </c>
      <c r="C665" s="64">
        <v>658.0</v>
      </c>
      <c r="D665" s="66"/>
      <c r="E665" s="185"/>
      <c r="F665" s="69"/>
      <c r="G665" s="70"/>
      <c r="H665" s="70"/>
      <c r="I665" s="71"/>
    </row>
    <row r="666" ht="17.25" customHeight="1">
      <c r="A666" s="61"/>
      <c r="B666" s="63" t="b">
        <v>0</v>
      </c>
      <c r="C666" s="64">
        <v>659.0</v>
      </c>
      <c r="D666" s="66"/>
      <c r="E666" s="185"/>
      <c r="F666" s="69"/>
      <c r="G666" s="70"/>
      <c r="H666" s="70"/>
      <c r="I666" s="71"/>
    </row>
    <row r="667" ht="17.25" customHeight="1">
      <c r="A667" s="61"/>
      <c r="B667" s="63" t="b">
        <v>0</v>
      </c>
      <c r="C667" s="64">
        <v>660.0</v>
      </c>
      <c r="D667" s="66"/>
      <c r="E667" s="185"/>
      <c r="F667" s="69"/>
      <c r="G667" s="70"/>
      <c r="H667" s="70"/>
      <c r="I667" s="71"/>
    </row>
    <row r="668" ht="17.25" customHeight="1">
      <c r="A668" s="61"/>
      <c r="B668" s="63" t="b">
        <v>0</v>
      </c>
      <c r="C668" s="64">
        <v>661.0</v>
      </c>
      <c r="D668" s="66"/>
      <c r="E668" s="185"/>
      <c r="F668" s="69"/>
      <c r="G668" s="70"/>
      <c r="H668" s="70"/>
      <c r="I668" s="71"/>
    </row>
    <row r="669" ht="17.25" customHeight="1">
      <c r="A669" s="61"/>
      <c r="B669" s="63" t="b">
        <v>0</v>
      </c>
      <c r="C669" s="64">
        <v>662.0</v>
      </c>
      <c r="D669" s="66"/>
      <c r="E669" s="185"/>
      <c r="F669" s="69"/>
      <c r="G669" s="70"/>
      <c r="H669" s="70"/>
      <c r="I669" s="71"/>
    </row>
    <row r="670" ht="17.25" customHeight="1">
      <c r="A670" s="61"/>
      <c r="B670" s="63" t="b">
        <v>0</v>
      </c>
      <c r="C670" s="64">
        <v>663.0</v>
      </c>
      <c r="D670" s="66"/>
      <c r="E670" s="185"/>
      <c r="F670" s="69"/>
      <c r="G670" s="70"/>
      <c r="H670" s="70"/>
      <c r="I670" s="71"/>
    </row>
    <row r="671" ht="17.25" customHeight="1">
      <c r="A671" s="61"/>
      <c r="B671" s="63" t="b">
        <v>0</v>
      </c>
      <c r="C671" s="64">
        <v>664.0</v>
      </c>
      <c r="D671" s="66"/>
      <c r="E671" s="185"/>
      <c r="F671" s="69"/>
      <c r="G671" s="70"/>
      <c r="H671" s="70"/>
      <c r="I671" s="71"/>
    </row>
    <row r="672" ht="17.25" customHeight="1">
      <c r="A672" s="61"/>
      <c r="B672" s="63" t="b">
        <v>0</v>
      </c>
      <c r="C672" s="64">
        <v>665.0</v>
      </c>
      <c r="D672" s="66"/>
      <c r="E672" s="185"/>
      <c r="F672" s="69"/>
      <c r="G672" s="70"/>
      <c r="H672" s="70"/>
      <c r="I672" s="71"/>
    </row>
    <row r="673" ht="17.25" customHeight="1">
      <c r="A673" s="61"/>
      <c r="B673" s="63" t="b">
        <v>0</v>
      </c>
      <c r="C673" s="64">
        <v>666.0</v>
      </c>
      <c r="D673" s="66"/>
      <c r="E673" s="185"/>
      <c r="F673" s="69"/>
      <c r="G673" s="70"/>
      <c r="H673" s="70"/>
      <c r="I673" s="71"/>
    </row>
    <row r="674" ht="17.25" customHeight="1">
      <c r="A674" s="61"/>
      <c r="B674" s="63" t="b">
        <v>0</v>
      </c>
      <c r="C674" s="64">
        <v>667.0</v>
      </c>
      <c r="D674" s="66"/>
      <c r="E674" s="185"/>
      <c r="F674" s="69"/>
      <c r="G674" s="70"/>
      <c r="H674" s="70"/>
      <c r="I674" s="71"/>
    </row>
    <row r="675" ht="17.25" customHeight="1">
      <c r="A675" s="61"/>
      <c r="B675" s="63" t="b">
        <v>0</v>
      </c>
      <c r="C675" s="64">
        <v>668.0</v>
      </c>
      <c r="D675" s="66"/>
      <c r="E675" s="185"/>
      <c r="F675" s="69"/>
      <c r="G675" s="70"/>
      <c r="H675" s="70"/>
      <c r="I675" s="71"/>
    </row>
    <row r="676" ht="17.25" customHeight="1">
      <c r="A676" s="61"/>
      <c r="B676" s="63" t="b">
        <v>0</v>
      </c>
      <c r="C676" s="64">
        <v>669.0</v>
      </c>
      <c r="D676" s="66"/>
      <c r="E676" s="185"/>
      <c r="F676" s="69"/>
      <c r="G676" s="70"/>
      <c r="H676" s="70"/>
      <c r="I676" s="71"/>
    </row>
    <row r="677" ht="17.25" customHeight="1">
      <c r="A677" s="61"/>
      <c r="B677" s="63" t="b">
        <v>0</v>
      </c>
      <c r="C677" s="64">
        <v>670.0</v>
      </c>
      <c r="D677" s="66"/>
      <c r="E677" s="185"/>
      <c r="F677" s="69"/>
      <c r="G677" s="70"/>
      <c r="H677" s="70"/>
      <c r="I677" s="71"/>
    </row>
    <row r="678" ht="17.25" customHeight="1">
      <c r="A678" s="61"/>
      <c r="B678" s="63" t="b">
        <v>0</v>
      </c>
      <c r="C678" s="64">
        <v>671.0</v>
      </c>
      <c r="D678" s="66"/>
      <c r="E678" s="185"/>
      <c r="F678" s="69"/>
      <c r="G678" s="70"/>
      <c r="H678" s="70"/>
      <c r="I678" s="71"/>
    </row>
    <row r="679" ht="17.25" customHeight="1">
      <c r="A679" s="61"/>
      <c r="B679" s="63" t="b">
        <v>0</v>
      </c>
      <c r="C679" s="64">
        <v>672.0</v>
      </c>
      <c r="D679" s="66"/>
      <c r="E679" s="185"/>
      <c r="F679" s="69"/>
      <c r="G679" s="70"/>
      <c r="H679" s="70"/>
      <c r="I679" s="71"/>
    </row>
    <row r="680" ht="17.25" customHeight="1">
      <c r="A680" s="61"/>
      <c r="B680" s="63" t="b">
        <v>0</v>
      </c>
      <c r="C680" s="64">
        <v>673.0</v>
      </c>
      <c r="D680" s="66"/>
      <c r="E680" s="185"/>
      <c r="F680" s="69"/>
      <c r="G680" s="70"/>
      <c r="H680" s="70"/>
      <c r="I680" s="71"/>
    </row>
    <row r="681" ht="17.25" customHeight="1">
      <c r="A681" s="61"/>
      <c r="B681" s="63" t="b">
        <v>0</v>
      </c>
      <c r="C681" s="64">
        <v>674.0</v>
      </c>
      <c r="D681" s="66"/>
      <c r="E681" s="185"/>
      <c r="F681" s="69"/>
      <c r="G681" s="70"/>
      <c r="H681" s="70"/>
      <c r="I681" s="71"/>
    </row>
    <row r="682" ht="17.25" customHeight="1">
      <c r="A682" s="61"/>
      <c r="B682" s="63" t="b">
        <v>0</v>
      </c>
      <c r="C682" s="64">
        <v>675.0</v>
      </c>
      <c r="D682" s="66"/>
      <c r="E682" s="185"/>
      <c r="F682" s="69"/>
      <c r="G682" s="70"/>
      <c r="H682" s="70"/>
      <c r="I682" s="71"/>
    </row>
    <row r="683" ht="17.25" customHeight="1">
      <c r="A683" s="61"/>
      <c r="B683" s="63" t="b">
        <v>0</v>
      </c>
      <c r="C683" s="64">
        <v>676.0</v>
      </c>
      <c r="D683" s="66"/>
      <c r="E683" s="185"/>
      <c r="F683" s="69"/>
      <c r="G683" s="70"/>
      <c r="H683" s="70"/>
      <c r="I683" s="71"/>
    </row>
    <row r="684" ht="17.25" customHeight="1">
      <c r="A684" s="61"/>
      <c r="B684" s="63" t="b">
        <v>0</v>
      </c>
      <c r="C684" s="64">
        <v>677.0</v>
      </c>
      <c r="D684" s="66"/>
      <c r="E684" s="185"/>
      <c r="F684" s="69"/>
      <c r="G684" s="70"/>
      <c r="H684" s="70"/>
      <c r="I684" s="71"/>
    </row>
    <row r="685" ht="17.25" customHeight="1">
      <c r="A685" s="61"/>
      <c r="B685" s="63" t="b">
        <v>0</v>
      </c>
      <c r="C685" s="64">
        <v>678.0</v>
      </c>
      <c r="D685" s="66"/>
      <c r="E685" s="185"/>
      <c r="F685" s="69"/>
      <c r="G685" s="70"/>
      <c r="H685" s="70"/>
      <c r="I685" s="71"/>
    </row>
    <row r="686" ht="17.25" customHeight="1">
      <c r="A686" s="61"/>
      <c r="B686" s="63" t="b">
        <v>0</v>
      </c>
      <c r="C686" s="64">
        <v>679.0</v>
      </c>
      <c r="D686" s="66"/>
      <c r="E686" s="185"/>
      <c r="F686" s="69"/>
      <c r="G686" s="70"/>
      <c r="H686" s="70"/>
      <c r="I686" s="71"/>
    </row>
    <row r="687" ht="17.25" customHeight="1">
      <c r="A687" s="61"/>
      <c r="B687" s="63" t="b">
        <v>0</v>
      </c>
      <c r="C687" s="64">
        <v>680.0</v>
      </c>
      <c r="D687" s="66"/>
      <c r="E687" s="185"/>
      <c r="F687" s="69"/>
      <c r="G687" s="70"/>
      <c r="H687" s="70"/>
      <c r="I687" s="71"/>
    </row>
    <row r="688" ht="17.25" customHeight="1">
      <c r="A688" s="61"/>
      <c r="B688" s="63" t="b">
        <v>0</v>
      </c>
      <c r="C688" s="64">
        <v>681.0</v>
      </c>
      <c r="D688" s="66"/>
      <c r="E688" s="185"/>
      <c r="F688" s="69"/>
      <c r="G688" s="70"/>
      <c r="H688" s="70"/>
      <c r="I688" s="71"/>
    </row>
    <row r="689" ht="17.25" customHeight="1">
      <c r="A689" s="61"/>
      <c r="B689" s="63" t="b">
        <v>0</v>
      </c>
      <c r="C689" s="64">
        <v>682.0</v>
      </c>
      <c r="D689" s="66"/>
      <c r="E689" s="185"/>
      <c r="F689" s="69"/>
      <c r="G689" s="70"/>
      <c r="H689" s="70"/>
      <c r="I689" s="71"/>
    </row>
    <row r="690" ht="17.25" customHeight="1">
      <c r="A690" s="61"/>
      <c r="B690" s="63" t="b">
        <v>0</v>
      </c>
      <c r="C690" s="64">
        <v>683.0</v>
      </c>
      <c r="D690" s="66"/>
      <c r="E690" s="185"/>
      <c r="F690" s="69"/>
      <c r="G690" s="70"/>
      <c r="H690" s="70"/>
      <c r="I690" s="71"/>
    </row>
    <row r="691" ht="17.25" customHeight="1">
      <c r="A691" s="61"/>
      <c r="B691" s="63" t="b">
        <v>0</v>
      </c>
      <c r="C691" s="64">
        <v>684.0</v>
      </c>
      <c r="D691" s="66"/>
      <c r="E691" s="185"/>
      <c r="F691" s="69"/>
      <c r="G691" s="70"/>
      <c r="H691" s="70"/>
      <c r="I691" s="71"/>
    </row>
    <row r="692" ht="17.25" customHeight="1">
      <c r="A692" s="61"/>
      <c r="B692" s="63" t="b">
        <v>0</v>
      </c>
      <c r="C692" s="64">
        <v>685.0</v>
      </c>
      <c r="D692" s="66"/>
      <c r="E692" s="185"/>
      <c r="F692" s="69"/>
      <c r="G692" s="70"/>
      <c r="H692" s="70"/>
      <c r="I692" s="71"/>
    </row>
    <row r="693" ht="17.25" customHeight="1">
      <c r="A693" s="61"/>
      <c r="B693" s="63" t="b">
        <v>0</v>
      </c>
      <c r="C693" s="64">
        <v>686.0</v>
      </c>
      <c r="D693" s="66"/>
      <c r="E693" s="185"/>
      <c r="F693" s="69"/>
      <c r="G693" s="70"/>
      <c r="H693" s="70"/>
      <c r="I693" s="71"/>
    </row>
    <row r="694" ht="17.25" customHeight="1">
      <c r="A694" s="61"/>
      <c r="B694" s="63" t="b">
        <v>0</v>
      </c>
      <c r="C694" s="64">
        <v>687.0</v>
      </c>
      <c r="D694" s="66"/>
      <c r="E694" s="185"/>
      <c r="F694" s="69"/>
      <c r="G694" s="70"/>
      <c r="H694" s="70"/>
      <c r="I694" s="71"/>
    </row>
    <row r="695" ht="17.25" customHeight="1">
      <c r="A695" s="61"/>
      <c r="B695" s="63" t="b">
        <v>0</v>
      </c>
      <c r="C695" s="64">
        <v>688.0</v>
      </c>
      <c r="D695" s="66"/>
      <c r="E695" s="185"/>
      <c r="F695" s="69"/>
      <c r="G695" s="70"/>
      <c r="H695" s="70"/>
      <c r="I695" s="71"/>
    </row>
    <row r="696" ht="17.25" customHeight="1">
      <c r="A696" s="61"/>
      <c r="B696" s="63" t="b">
        <v>0</v>
      </c>
      <c r="C696" s="64">
        <v>689.0</v>
      </c>
      <c r="D696" s="66"/>
      <c r="E696" s="185"/>
      <c r="F696" s="69"/>
      <c r="G696" s="70"/>
      <c r="H696" s="70"/>
      <c r="I696" s="71"/>
    </row>
    <row r="697" ht="17.25" customHeight="1">
      <c r="A697" s="61"/>
      <c r="B697" s="63" t="b">
        <v>0</v>
      </c>
      <c r="C697" s="64">
        <v>690.0</v>
      </c>
      <c r="D697" s="66"/>
      <c r="E697" s="185"/>
      <c r="F697" s="69"/>
      <c r="G697" s="70"/>
      <c r="H697" s="70"/>
      <c r="I697" s="71"/>
    </row>
    <row r="698" ht="17.25" customHeight="1">
      <c r="A698" s="61"/>
      <c r="B698" s="63" t="b">
        <v>0</v>
      </c>
      <c r="C698" s="64">
        <v>691.0</v>
      </c>
      <c r="D698" s="66"/>
      <c r="E698" s="185"/>
      <c r="F698" s="69"/>
      <c r="G698" s="70"/>
      <c r="H698" s="70"/>
      <c r="I698" s="71"/>
    </row>
    <row r="699" ht="17.25" customHeight="1">
      <c r="A699" s="61"/>
      <c r="B699" s="63" t="b">
        <v>0</v>
      </c>
      <c r="C699" s="64">
        <v>692.0</v>
      </c>
      <c r="D699" s="66"/>
      <c r="E699" s="185"/>
      <c r="F699" s="69"/>
      <c r="G699" s="70"/>
      <c r="H699" s="70"/>
      <c r="I699" s="71"/>
    </row>
    <row r="700" ht="17.25" customHeight="1">
      <c r="A700" s="61"/>
      <c r="B700" s="63" t="b">
        <v>0</v>
      </c>
      <c r="C700" s="64">
        <v>693.0</v>
      </c>
      <c r="D700" s="66"/>
      <c r="E700" s="185"/>
      <c r="F700" s="69"/>
      <c r="G700" s="70"/>
      <c r="H700" s="70"/>
      <c r="I700" s="71"/>
    </row>
    <row r="701" ht="17.25" customHeight="1">
      <c r="A701" s="61"/>
      <c r="B701" s="63" t="b">
        <v>0</v>
      </c>
      <c r="C701" s="64">
        <v>694.0</v>
      </c>
      <c r="D701" s="66"/>
      <c r="E701" s="185"/>
      <c r="F701" s="69"/>
      <c r="G701" s="70"/>
      <c r="H701" s="70"/>
      <c r="I701" s="71"/>
    </row>
    <row r="702" ht="17.25" customHeight="1">
      <c r="A702" s="61"/>
      <c r="B702" s="63" t="b">
        <v>0</v>
      </c>
      <c r="C702" s="64">
        <v>695.0</v>
      </c>
      <c r="D702" s="66"/>
      <c r="E702" s="185"/>
      <c r="F702" s="69"/>
      <c r="G702" s="70"/>
      <c r="H702" s="70"/>
      <c r="I702" s="71"/>
    </row>
    <row r="703" ht="17.25" customHeight="1">
      <c r="A703" s="61"/>
      <c r="B703" s="63" t="b">
        <v>0</v>
      </c>
      <c r="C703" s="64">
        <v>696.0</v>
      </c>
      <c r="D703" s="66"/>
      <c r="E703" s="185"/>
      <c r="F703" s="69"/>
      <c r="G703" s="70"/>
      <c r="H703" s="70"/>
      <c r="I703" s="71"/>
    </row>
    <row r="704" ht="17.25" customHeight="1">
      <c r="A704" s="61"/>
      <c r="B704" s="63" t="b">
        <v>0</v>
      </c>
      <c r="C704" s="64">
        <v>697.0</v>
      </c>
      <c r="D704" s="66"/>
      <c r="E704" s="185"/>
      <c r="F704" s="69"/>
      <c r="G704" s="70"/>
      <c r="H704" s="70"/>
      <c r="I704" s="71"/>
    </row>
    <row r="705" ht="17.25" customHeight="1">
      <c r="A705" s="61"/>
      <c r="B705" s="63" t="b">
        <v>0</v>
      </c>
      <c r="C705" s="64">
        <v>698.0</v>
      </c>
      <c r="D705" s="66"/>
      <c r="E705" s="185"/>
      <c r="F705" s="69"/>
      <c r="G705" s="70"/>
      <c r="H705" s="70"/>
      <c r="I705" s="71"/>
    </row>
    <row r="706" ht="17.25" customHeight="1">
      <c r="A706" s="61"/>
      <c r="B706" s="63" t="b">
        <v>0</v>
      </c>
      <c r="C706" s="64">
        <v>699.0</v>
      </c>
      <c r="D706" s="66"/>
      <c r="E706" s="185"/>
      <c r="F706" s="69"/>
      <c r="G706" s="70"/>
      <c r="H706" s="70"/>
      <c r="I706" s="71"/>
    </row>
    <row r="707" ht="17.25" customHeight="1">
      <c r="A707" s="61"/>
      <c r="B707" s="63" t="b">
        <v>0</v>
      </c>
      <c r="C707" s="64">
        <v>700.0</v>
      </c>
      <c r="D707" s="66"/>
      <c r="E707" s="185"/>
      <c r="F707" s="69"/>
      <c r="G707" s="70"/>
      <c r="H707" s="70"/>
      <c r="I707" s="71"/>
    </row>
    <row r="708" ht="17.25" customHeight="1">
      <c r="A708" s="61"/>
      <c r="B708" s="63" t="b">
        <v>0</v>
      </c>
      <c r="C708" s="64">
        <v>701.0</v>
      </c>
      <c r="D708" s="66"/>
      <c r="E708" s="185"/>
      <c r="F708" s="69"/>
      <c r="G708" s="70"/>
      <c r="H708" s="70"/>
      <c r="I708" s="71"/>
    </row>
    <row r="709" ht="17.25" customHeight="1">
      <c r="A709" s="61"/>
      <c r="B709" s="63" t="b">
        <v>0</v>
      </c>
      <c r="C709" s="64">
        <v>702.0</v>
      </c>
      <c r="D709" s="66"/>
      <c r="E709" s="185"/>
      <c r="F709" s="69"/>
      <c r="G709" s="70"/>
      <c r="H709" s="70"/>
      <c r="I709" s="71"/>
    </row>
    <row r="710" ht="17.25" customHeight="1">
      <c r="A710" s="61"/>
      <c r="B710" s="63" t="b">
        <v>0</v>
      </c>
      <c r="C710" s="64">
        <v>703.0</v>
      </c>
      <c r="D710" s="66"/>
      <c r="E710" s="185"/>
      <c r="F710" s="69"/>
      <c r="G710" s="70"/>
      <c r="H710" s="70"/>
      <c r="I710" s="71"/>
    </row>
    <row r="711" ht="17.25" customHeight="1">
      <c r="A711" s="61"/>
      <c r="B711" s="63" t="b">
        <v>0</v>
      </c>
      <c r="C711" s="64">
        <v>704.0</v>
      </c>
      <c r="D711" s="66"/>
      <c r="E711" s="185"/>
      <c r="F711" s="69"/>
      <c r="G711" s="70"/>
      <c r="H711" s="70"/>
      <c r="I711" s="71"/>
    </row>
    <row r="712" ht="17.25" customHeight="1">
      <c r="A712" s="61"/>
      <c r="B712" s="63" t="b">
        <v>0</v>
      </c>
      <c r="C712" s="64">
        <v>705.0</v>
      </c>
      <c r="D712" s="66"/>
      <c r="E712" s="185"/>
      <c r="F712" s="69"/>
      <c r="G712" s="70"/>
      <c r="H712" s="70"/>
      <c r="I712" s="71"/>
    </row>
    <row r="713" ht="17.25" customHeight="1">
      <c r="A713" s="61"/>
      <c r="B713" s="63" t="b">
        <v>0</v>
      </c>
      <c r="C713" s="64">
        <v>706.0</v>
      </c>
      <c r="D713" s="66"/>
      <c r="E713" s="185"/>
      <c r="F713" s="69"/>
      <c r="G713" s="70"/>
      <c r="H713" s="70"/>
      <c r="I713" s="71"/>
    </row>
    <row r="714" ht="17.25" customHeight="1">
      <c r="A714" s="61"/>
      <c r="B714" s="63" t="b">
        <v>0</v>
      </c>
      <c r="C714" s="64">
        <v>707.0</v>
      </c>
      <c r="D714" s="66"/>
      <c r="E714" s="185"/>
      <c r="F714" s="69"/>
      <c r="G714" s="70"/>
      <c r="H714" s="70"/>
      <c r="I714" s="71"/>
    </row>
    <row r="715" ht="17.25" customHeight="1">
      <c r="A715" s="61"/>
      <c r="B715" s="63" t="b">
        <v>0</v>
      </c>
      <c r="C715" s="64">
        <v>708.0</v>
      </c>
      <c r="D715" s="66"/>
      <c r="E715" s="185"/>
      <c r="F715" s="69"/>
      <c r="G715" s="70"/>
      <c r="H715" s="70"/>
      <c r="I715" s="71"/>
    </row>
    <row r="716" ht="17.25" customHeight="1">
      <c r="A716" s="61"/>
      <c r="B716" s="63" t="b">
        <v>0</v>
      </c>
      <c r="C716" s="64">
        <v>709.0</v>
      </c>
      <c r="D716" s="66"/>
      <c r="E716" s="185"/>
      <c r="F716" s="69"/>
      <c r="G716" s="70"/>
      <c r="H716" s="70"/>
      <c r="I716" s="71"/>
    </row>
    <row r="717" ht="17.25" customHeight="1">
      <c r="A717" s="61"/>
      <c r="B717" s="63" t="b">
        <v>0</v>
      </c>
      <c r="C717" s="64">
        <v>710.0</v>
      </c>
      <c r="D717" s="66"/>
      <c r="E717" s="185"/>
      <c r="F717" s="69"/>
      <c r="G717" s="70"/>
      <c r="H717" s="70"/>
      <c r="I717" s="71"/>
    </row>
    <row r="718" ht="17.25" customHeight="1">
      <c r="A718" s="61"/>
      <c r="B718" s="63" t="b">
        <v>0</v>
      </c>
      <c r="C718" s="64">
        <v>711.0</v>
      </c>
      <c r="D718" s="66"/>
      <c r="E718" s="185"/>
      <c r="F718" s="69"/>
      <c r="G718" s="70"/>
      <c r="H718" s="70"/>
      <c r="I718" s="71"/>
    </row>
    <row r="719" ht="17.25" customHeight="1">
      <c r="A719" s="61"/>
      <c r="B719" s="63" t="b">
        <v>0</v>
      </c>
      <c r="C719" s="64">
        <v>712.0</v>
      </c>
      <c r="D719" s="66"/>
      <c r="E719" s="185"/>
      <c r="F719" s="69"/>
      <c r="G719" s="70"/>
      <c r="H719" s="70"/>
      <c r="I719" s="71"/>
    </row>
    <row r="720" ht="17.25" customHeight="1">
      <c r="A720" s="61"/>
      <c r="B720" s="63" t="b">
        <v>0</v>
      </c>
      <c r="C720" s="64">
        <v>713.0</v>
      </c>
      <c r="D720" s="66"/>
      <c r="E720" s="185"/>
      <c r="F720" s="69"/>
      <c r="G720" s="70"/>
      <c r="H720" s="70"/>
      <c r="I720" s="71"/>
    </row>
    <row r="721" ht="17.25" customHeight="1">
      <c r="A721" s="61"/>
      <c r="B721" s="63" t="b">
        <v>0</v>
      </c>
      <c r="C721" s="64">
        <v>714.0</v>
      </c>
      <c r="D721" s="66"/>
      <c r="E721" s="185"/>
      <c r="F721" s="69"/>
      <c r="G721" s="70"/>
      <c r="H721" s="70"/>
      <c r="I721" s="71"/>
    </row>
    <row r="722" ht="17.25" customHeight="1">
      <c r="A722" s="61"/>
      <c r="B722" s="63" t="b">
        <v>0</v>
      </c>
      <c r="C722" s="64">
        <v>715.0</v>
      </c>
      <c r="D722" s="66"/>
      <c r="E722" s="185"/>
      <c r="F722" s="69"/>
      <c r="G722" s="70"/>
      <c r="H722" s="70"/>
      <c r="I722" s="71"/>
    </row>
    <row r="723" ht="17.25" customHeight="1">
      <c r="A723" s="61"/>
      <c r="B723" s="63" t="b">
        <v>0</v>
      </c>
      <c r="C723" s="64">
        <v>716.0</v>
      </c>
      <c r="D723" s="66"/>
      <c r="E723" s="185"/>
      <c r="F723" s="69"/>
      <c r="G723" s="70"/>
      <c r="H723" s="70"/>
      <c r="I723" s="71"/>
    </row>
    <row r="724" ht="17.25" customHeight="1">
      <c r="A724" s="61"/>
      <c r="B724" s="63" t="b">
        <v>0</v>
      </c>
      <c r="C724" s="64">
        <v>717.0</v>
      </c>
      <c r="D724" s="66"/>
      <c r="E724" s="185"/>
      <c r="F724" s="69"/>
      <c r="G724" s="70"/>
      <c r="H724" s="70"/>
      <c r="I724" s="71"/>
    </row>
    <row r="725" ht="17.25" customHeight="1">
      <c r="A725" s="61"/>
      <c r="B725" s="63" t="b">
        <v>0</v>
      </c>
      <c r="C725" s="64">
        <v>718.0</v>
      </c>
      <c r="D725" s="66"/>
      <c r="E725" s="185"/>
      <c r="F725" s="69"/>
      <c r="G725" s="70"/>
      <c r="H725" s="70"/>
      <c r="I725" s="71"/>
    </row>
    <row r="726" ht="17.25" customHeight="1">
      <c r="A726" s="61"/>
      <c r="B726" s="63" t="b">
        <v>0</v>
      </c>
      <c r="C726" s="64">
        <v>719.0</v>
      </c>
      <c r="D726" s="66"/>
      <c r="E726" s="185"/>
      <c r="F726" s="69"/>
      <c r="G726" s="70"/>
      <c r="H726" s="70"/>
      <c r="I726" s="71"/>
    </row>
    <row r="727" ht="17.25" customHeight="1">
      <c r="A727" s="61"/>
      <c r="B727" s="63" t="b">
        <v>0</v>
      </c>
      <c r="C727" s="64">
        <v>720.0</v>
      </c>
      <c r="D727" s="66"/>
      <c r="E727" s="185"/>
      <c r="F727" s="69"/>
      <c r="G727" s="70"/>
      <c r="H727" s="70"/>
      <c r="I727" s="71"/>
    </row>
    <row r="728" ht="17.25" customHeight="1">
      <c r="A728" s="61"/>
      <c r="B728" s="63" t="b">
        <v>0</v>
      </c>
      <c r="C728" s="64">
        <v>721.0</v>
      </c>
      <c r="D728" s="66"/>
      <c r="E728" s="185"/>
      <c r="F728" s="69"/>
      <c r="G728" s="70"/>
      <c r="H728" s="70"/>
      <c r="I728" s="71"/>
    </row>
    <row r="729" ht="17.25" customHeight="1">
      <c r="A729" s="61"/>
      <c r="B729" s="63" t="b">
        <v>0</v>
      </c>
      <c r="C729" s="64">
        <v>722.0</v>
      </c>
      <c r="D729" s="66"/>
      <c r="E729" s="185"/>
      <c r="F729" s="69"/>
      <c r="G729" s="70"/>
      <c r="H729" s="70"/>
      <c r="I729" s="71"/>
    </row>
    <row r="730" ht="17.25" customHeight="1">
      <c r="A730" s="61"/>
      <c r="B730" s="63" t="b">
        <v>0</v>
      </c>
      <c r="C730" s="64">
        <v>723.0</v>
      </c>
      <c r="D730" s="66"/>
      <c r="E730" s="185"/>
      <c r="F730" s="69"/>
      <c r="G730" s="70"/>
      <c r="H730" s="70"/>
      <c r="I730" s="71"/>
    </row>
    <row r="731" ht="17.25" customHeight="1">
      <c r="A731" s="61"/>
      <c r="B731" s="63" t="b">
        <v>0</v>
      </c>
      <c r="C731" s="64">
        <v>724.0</v>
      </c>
      <c r="D731" s="66"/>
      <c r="E731" s="185"/>
      <c r="F731" s="69"/>
      <c r="G731" s="70"/>
      <c r="H731" s="70"/>
      <c r="I731" s="71"/>
    </row>
    <row r="732" ht="17.25" customHeight="1">
      <c r="A732" s="61"/>
      <c r="B732" s="63" t="b">
        <v>0</v>
      </c>
      <c r="C732" s="64">
        <v>725.0</v>
      </c>
      <c r="D732" s="66"/>
      <c r="E732" s="185"/>
      <c r="F732" s="69"/>
      <c r="G732" s="70"/>
      <c r="H732" s="70"/>
      <c r="I732" s="71"/>
    </row>
    <row r="733" ht="17.25" customHeight="1">
      <c r="A733" s="61"/>
      <c r="B733" s="63" t="b">
        <v>0</v>
      </c>
      <c r="C733" s="64">
        <v>726.0</v>
      </c>
      <c r="D733" s="66"/>
      <c r="E733" s="185"/>
      <c r="F733" s="69"/>
      <c r="G733" s="70"/>
      <c r="H733" s="70"/>
      <c r="I733" s="71"/>
    </row>
    <row r="734" ht="17.25" customHeight="1">
      <c r="A734" s="61"/>
      <c r="B734" s="63" t="b">
        <v>0</v>
      </c>
      <c r="C734" s="64">
        <v>727.0</v>
      </c>
      <c r="D734" s="66"/>
      <c r="E734" s="185"/>
      <c r="F734" s="69"/>
      <c r="G734" s="70"/>
      <c r="H734" s="70"/>
      <c r="I734" s="71"/>
    </row>
    <row r="735" ht="17.25" customHeight="1">
      <c r="A735" s="61"/>
      <c r="B735" s="63" t="b">
        <v>0</v>
      </c>
      <c r="C735" s="64">
        <v>728.0</v>
      </c>
      <c r="D735" s="66"/>
      <c r="E735" s="185"/>
      <c r="F735" s="69"/>
      <c r="G735" s="70"/>
      <c r="H735" s="70"/>
      <c r="I735" s="71"/>
    </row>
    <row r="736" ht="17.25" customHeight="1">
      <c r="A736" s="61"/>
      <c r="B736" s="63" t="b">
        <v>0</v>
      </c>
      <c r="C736" s="64">
        <v>729.0</v>
      </c>
      <c r="D736" s="66"/>
      <c r="E736" s="185"/>
      <c r="F736" s="69"/>
      <c r="G736" s="70"/>
      <c r="H736" s="70"/>
      <c r="I736" s="71"/>
    </row>
    <row r="737" ht="17.25" customHeight="1">
      <c r="A737" s="61"/>
      <c r="B737" s="63" t="b">
        <v>0</v>
      </c>
      <c r="C737" s="64">
        <v>730.0</v>
      </c>
      <c r="D737" s="66"/>
      <c r="E737" s="185"/>
      <c r="F737" s="69"/>
      <c r="G737" s="70"/>
      <c r="H737" s="70"/>
      <c r="I737" s="71"/>
    </row>
    <row r="738" ht="17.25" customHeight="1">
      <c r="A738" s="61"/>
      <c r="B738" s="63" t="b">
        <v>0</v>
      </c>
      <c r="C738" s="64">
        <v>731.0</v>
      </c>
      <c r="D738" s="66"/>
      <c r="E738" s="185"/>
      <c r="F738" s="69"/>
      <c r="G738" s="70"/>
      <c r="H738" s="70"/>
      <c r="I738" s="71"/>
    </row>
    <row r="739" ht="17.25" customHeight="1">
      <c r="A739" s="61"/>
      <c r="B739" s="63" t="b">
        <v>0</v>
      </c>
      <c r="C739" s="64">
        <v>732.0</v>
      </c>
      <c r="D739" s="66"/>
      <c r="E739" s="185"/>
      <c r="F739" s="69"/>
      <c r="G739" s="70"/>
      <c r="H739" s="70"/>
      <c r="I739" s="71"/>
    </row>
    <row r="740" ht="17.25" customHeight="1">
      <c r="A740" s="61"/>
      <c r="B740" s="63" t="b">
        <v>0</v>
      </c>
      <c r="C740" s="64">
        <v>733.0</v>
      </c>
      <c r="D740" s="66"/>
      <c r="E740" s="185"/>
      <c r="F740" s="69"/>
      <c r="G740" s="70"/>
      <c r="H740" s="70"/>
      <c r="I740" s="71"/>
    </row>
    <row r="741" ht="17.25" customHeight="1">
      <c r="A741" s="61"/>
      <c r="B741" s="63" t="b">
        <v>0</v>
      </c>
      <c r="C741" s="64">
        <v>734.0</v>
      </c>
      <c r="D741" s="66"/>
      <c r="E741" s="185"/>
      <c r="F741" s="69"/>
      <c r="G741" s="70"/>
      <c r="H741" s="70"/>
      <c r="I741" s="71"/>
    </row>
    <row r="742" ht="17.25" customHeight="1">
      <c r="A742" s="61"/>
      <c r="B742" s="63" t="b">
        <v>0</v>
      </c>
      <c r="C742" s="64">
        <v>735.0</v>
      </c>
      <c r="D742" s="66"/>
      <c r="E742" s="185"/>
      <c r="F742" s="69"/>
      <c r="G742" s="70"/>
      <c r="H742" s="70"/>
      <c r="I742" s="71"/>
    </row>
    <row r="743" ht="17.25" customHeight="1">
      <c r="A743" s="61"/>
      <c r="B743" s="63" t="b">
        <v>0</v>
      </c>
      <c r="C743" s="64">
        <v>736.0</v>
      </c>
      <c r="D743" s="66"/>
      <c r="E743" s="185"/>
      <c r="F743" s="69"/>
      <c r="G743" s="70"/>
      <c r="H743" s="70"/>
      <c r="I743" s="71"/>
    </row>
    <row r="744" ht="17.25" customHeight="1">
      <c r="A744" s="61"/>
      <c r="B744" s="63" t="b">
        <v>0</v>
      </c>
      <c r="C744" s="64">
        <v>737.0</v>
      </c>
      <c r="D744" s="66"/>
      <c r="E744" s="185"/>
      <c r="F744" s="69"/>
      <c r="G744" s="70"/>
      <c r="H744" s="70"/>
      <c r="I744" s="71"/>
    </row>
    <row r="745" ht="17.25" customHeight="1">
      <c r="A745" s="61"/>
      <c r="B745" s="63" t="b">
        <v>0</v>
      </c>
      <c r="C745" s="64">
        <v>738.0</v>
      </c>
      <c r="D745" s="66"/>
      <c r="E745" s="185"/>
      <c r="F745" s="69"/>
      <c r="G745" s="70"/>
      <c r="H745" s="70"/>
      <c r="I745" s="71"/>
    </row>
    <row r="746" ht="17.25" customHeight="1">
      <c r="A746" s="61"/>
      <c r="B746" s="63" t="b">
        <v>0</v>
      </c>
      <c r="C746" s="64">
        <v>739.0</v>
      </c>
      <c r="D746" s="66"/>
      <c r="E746" s="185"/>
      <c r="F746" s="69"/>
      <c r="G746" s="70"/>
      <c r="H746" s="70"/>
      <c r="I746" s="71"/>
    </row>
    <row r="747" ht="17.25" customHeight="1">
      <c r="A747" s="61"/>
      <c r="B747" s="63" t="b">
        <v>0</v>
      </c>
      <c r="C747" s="64">
        <v>740.0</v>
      </c>
      <c r="D747" s="66"/>
      <c r="E747" s="185"/>
      <c r="F747" s="69"/>
      <c r="G747" s="70"/>
      <c r="H747" s="70"/>
      <c r="I747" s="71"/>
    </row>
    <row r="748" ht="17.25" customHeight="1">
      <c r="A748" s="61"/>
      <c r="B748" s="63" t="b">
        <v>0</v>
      </c>
      <c r="C748" s="64">
        <v>741.0</v>
      </c>
      <c r="D748" s="66"/>
      <c r="E748" s="185"/>
      <c r="F748" s="69"/>
      <c r="G748" s="70"/>
      <c r="H748" s="70"/>
      <c r="I748" s="71"/>
    </row>
    <row r="749" ht="17.25" customHeight="1">
      <c r="A749" s="61"/>
      <c r="B749" s="63" t="b">
        <v>0</v>
      </c>
      <c r="C749" s="64">
        <v>742.0</v>
      </c>
      <c r="D749" s="66"/>
      <c r="E749" s="185"/>
      <c r="F749" s="69"/>
      <c r="G749" s="70"/>
      <c r="H749" s="70"/>
      <c r="I749" s="71"/>
    </row>
    <row r="750" ht="17.25" customHeight="1">
      <c r="A750" s="61"/>
      <c r="B750" s="63" t="b">
        <v>0</v>
      </c>
      <c r="C750" s="64">
        <v>743.0</v>
      </c>
      <c r="D750" s="66"/>
      <c r="E750" s="185"/>
      <c r="F750" s="69"/>
      <c r="G750" s="70"/>
      <c r="H750" s="70"/>
      <c r="I750" s="71"/>
    </row>
    <row r="751" ht="17.25" customHeight="1">
      <c r="A751" s="61"/>
      <c r="B751" s="63" t="b">
        <v>0</v>
      </c>
      <c r="C751" s="64">
        <v>744.0</v>
      </c>
      <c r="D751" s="66"/>
      <c r="E751" s="185"/>
      <c r="F751" s="69"/>
      <c r="G751" s="70"/>
      <c r="H751" s="70"/>
      <c r="I751" s="71"/>
    </row>
    <row r="752" ht="17.25" customHeight="1">
      <c r="A752" s="61"/>
      <c r="B752" s="63" t="b">
        <v>0</v>
      </c>
      <c r="C752" s="64">
        <v>745.0</v>
      </c>
      <c r="D752" s="66"/>
      <c r="E752" s="185"/>
      <c r="F752" s="69"/>
      <c r="G752" s="70"/>
      <c r="H752" s="70"/>
      <c r="I752" s="71"/>
    </row>
    <row r="753" ht="17.25" customHeight="1">
      <c r="A753" s="61"/>
      <c r="B753" s="63" t="b">
        <v>0</v>
      </c>
      <c r="C753" s="64">
        <v>746.0</v>
      </c>
      <c r="D753" s="66"/>
      <c r="E753" s="185"/>
      <c r="F753" s="69"/>
      <c r="G753" s="70"/>
      <c r="H753" s="70"/>
      <c r="I753" s="71"/>
    </row>
    <row r="754" ht="17.25" customHeight="1">
      <c r="A754" s="61"/>
      <c r="B754" s="63" t="b">
        <v>0</v>
      </c>
      <c r="C754" s="64">
        <v>747.0</v>
      </c>
      <c r="D754" s="66"/>
      <c r="E754" s="185"/>
      <c r="F754" s="69"/>
      <c r="G754" s="70"/>
      <c r="H754" s="70"/>
      <c r="I754" s="71"/>
    </row>
    <row r="755" ht="17.25" customHeight="1">
      <c r="A755" s="61"/>
      <c r="B755" s="63" t="b">
        <v>0</v>
      </c>
      <c r="C755" s="64">
        <v>748.0</v>
      </c>
      <c r="D755" s="66"/>
      <c r="E755" s="185"/>
      <c r="F755" s="69"/>
      <c r="G755" s="70"/>
      <c r="H755" s="70"/>
      <c r="I755" s="71"/>
    </row>
    <row r="756" ht="17.25" customHeight="1">
      <c r="A756" s="61"/>
      <c r="B756" s="63" t="b">
        <v>0</v>
      </c>
      <c r="C756" s="64">
        <v>749.0</v>
      </c>
      <c r="D756" s="66"/>
      <c r="E756" s="185"/>
      <c r="F756" s="69"/>
      <c r="G756" s="70"/>
      <c r="H756" s="70"/>
      <c r="I756" s="71"/>
    </row>
    <row r="757" ht="17.25" customHeight="1">
      <c r="A757" s="61"/>
      <c r="B757" s="63" t="b">
        <v>0</v>
      </c>
      <c r="C757" s="64">
        <v>750.0</v>
      </c>
      <c r="D757" s="66"/>
      <c r="E757" s="185"/>
      <c r="F757" s="69"/>
      <c r="G757" s="70"/>
      <c r="H757" s="70"/>
      <c r="I757" s="71"/>
    </row>
    <row r="758" ht="17.25" customHeight="1">
      <c r="A758" s="61"/>
      <c r="B758" s="63" t="b">
        <v>0</v>
      </c>
      <c r="C758" s="64">
        <v>751.0</v>
      </c>
      <c r="D758" s="66"/>
      <c r="E758" s="185"/>
      <c r="F758" s="69"/>
      <c r="G758" s="70"/>
      <c r="H758" s="70"/>
      <c r="I758" s="71"/>
    </row>
    <row r="759" ht="17.25" customHeight="1">
      <c r="A759" s="61"/>
      <c r="B759" s="63" t="b">
        <v>0</v>
      </c>
      <c r="C759" s="64">
        <v>752.0</v>
      </c>
      <c r="D759" s="66"/>
      <c r="E759" s="185"/>
      <c r="F759" s="69"/>
      <c r="G759" s="70"/>
      <c r="H759" s="70"/>
      <c r="I759" s="71"/>
    </row>
    <row r="760" ht="17.25" customHeight="1">
      <c r="A760" s="61"/>
      <c r="B760" s="63" t="b">
        <v>0</v>
      </c>
      <c r="C760" s="64">
        <v>753.0</v>
      </c>
      <c r="D760" s="66"/>
      <c r="E760" s="185"/>
      <c r="F760" s="69"/>
      <c r="G760" s="70"/>
      <c r="H760" s="70"/>
      <c r="I760" s="71"/>
    </row>
    <row r="761" ht="17.25" customHeight="1">
      <c r="A761" s="61"/>
      <c r="B761" s="63" t="b">
        <v>0</v>
      </c>
      <c r="C761" s="64">
        <v>754.0</v>
      </c>
      <c r="D761" s="66"/>
      <c r="E761" s="185"/>
      <c r="F761" s="69"/>
      <c r="G761" s="70"/>
      <c r="H761" s="70"/>
      <c r="I761" s="71"/>
    </row>
    <row r="762" ht="17.25" customHeight="1">
      <c r="A762" s="61"/>
      <c r="B762" s="63" t="b">
        <v>0</v>
      </c>
      <c r="C762" s="64">
        <v>755.0</v>
      </c>
      <c r="D762" s="66"/>
      <c r="E762" s="185"/>
      <c r="F762" s="69"/>
      <c r="G762" s="70"/>
      <c r="H762" s="70"/>
      <c r="I762" s="71"/>
    </row>
    <row r="763" ht="17.25" customHeight="1">
      <c r="A763" s="61"/>
      <c r="B763" s="63" t="b">
        <v>0</v>
      </c>
      <c r="C763" s="64">
        <v>756.0</v>
      </c>
      <c r="D763" s="66"/>
      <c r="E763" s="185"/>
      <c r="F763" s="69"/>
      <c r="G763" s="70"/>
      <c r="H763" s="70"/>
      <c r="I763" s="71"/>
    </row>
    <row r="764" ht="17.25" customHeight="1">
      <c r="A764" s="61"/>
      <c r="B764" s="63" t="b">
        <v>0</v>
      </c>
      <c r="C764" s="64">
        <v>757.0</v>
      </c>
      <c r="D764" s="66"/>
      <c r="E764" s="185"/>
      <c r="F764" s="69"/>
      <c r="G764" s="70"/>
      <c r="H764" s="70"/>
      <c r="I764" s="71"/>
    </row>
    <row r="765" ht="17.25" customHeight="1">
      <c r="A765" s="61"/>
      <c r="B765" s="63" t="b">
        <v>0</v>
      </c>
      <c r="C765" s="64">
        <v>758.0</v>
      </c>
      <c r="D765" s="66"/>
      <c r="E765" s="185"/>
      <c r="F765" s="69"/>
      <c r="G765" s="70"/>
      <c r="H765" s="70"/>
      <c r="I765" s="71"/>
    </row>
    <row r="766" ht="17.25" customHeight="1">
      <c r="A766" s="61"/>
      <c r="B766" s="63" t="b">
        <v>0</v>
      </c>
      <c r="C766" s="64">
        <v>759.0</v>
      </c>
      <c r="D766" s="66"/>
      <c r="E766" s="185"/>
      <c r="F766" s="69"/>
      <c r="G766" s="70"/>
      <c r="H766" s="70"/>
      <c r="I766" s="71"/>
    </row>
    <row r="767" ht="17.25" customHeight="1">
      <c r="A767" s="61"/>
      <c r="B767" s="63" t="b">
        <v>0</v>
      </c>
      <c r="C767" s="64">
        <v>760.0</v>
      </c>
      <c r="D767" s="66"/>
      <c r="E767" s="185"/>
      <c r="F767" s="69"/>
      <c r="G767" s="70"/>
      <c r="H767" s="70"/>
      <c r="I767" s="71"/>
    </row>
    <row r="768" ht="17.25" customHeight="1">
      <c r="A768" s="61"/>
      <c r="B768" s="63" t="b">
        <v>0</v>
      </c>
      <c r="C768" s="64">
        <v>761.0</v>
      </c>
      <c r="D768" s="66"/>
      <c r="E768" s="185"/>
      <c r="F768" s="69"/>
      <c r="G768" s="70"/>
      <c r="H768" s="70"/>
      <c r="I768" s="71"/>
    </row>
    <row r="769" ht="17.25" customHeight="1">
      <c r="A769" s="61"/>
      <c r="B769" s="63" t="b">
        <v>0</v>
      </c>
      <c r="C769" s="64">
        <v>762.0</v>
      </c>
      <c r="D769" s="66"/>
      <c r="E769" s="185"/>
      <c r="F769" s="69"/>
      <c r="G769" s="70"/>
      <c r="H769" s="70"/>
      <c r="I769" s="71"/>
    </row>
    <row r="770" ht="17.25" customHeight="1">
      <c r="A770" s="61"/>
      <c r="B770" s="63" t="b">
        <v>0</v>
      </c>
      <c r="C770" s="64">
        <v>763.0</v>
      </c>
      <c r="D770" s="66"/>
      <c r="E770" s="185"/>
      <c r="F770" s="69"/>
      <c r="G770" s="70"/>
      <c r="H770" s="70"/>
      <c r="I770" s="71"/>
    </row>
    <row r="771" ht="17.25" customHeight="1">
      <c r="A771" s="61"/>
      <c r="B771" s="63" t="b">
        <v>0</v>
      </c>
      <c r="C771" s="64">
        <v>764.0</v>
      </c>
      <c r="D771" s="66"/>
      <c r="E771" s="185"/>
      <c r="F771" s="69"/>
      <c r="G771" s="70"/>
      <c r="H771" s="70"/>
      <c r="I771" s="71"/>
    </row>
    <row r="772" ht="17.25" customHeight="1">
      <c r="A772" s="61"/>
      <c r="B772" s="63" t="b">
        <v>0</v>
      </c>
      <c r="C772" s="64">
        <v>765.0</v>
      </c>
      <c r="D772" s="66"/>
      <c r="E772" s="185"/>
      <c r="F772" s="69"/>
      <c r="G772" s="70"/>
      <c r="H772" s="70"/>
      <c r="I772" s="71"/>
    </row>
    <row r="773" ht="17.25" customHeight="1">
      <c r="A773" s="61"/>
      <c r="B773" s="63" t="b">
        <v>0</v>
      </c>
      <c r="C773" s="64">
        <v>766.0</v>
      </c>
      <c r="D773" s="66"/>
      <c r="E773" s="185"/>
      <c r="F773" s="69"/>
      <c r="G773" s="70"/>
      <c r="H773" s="70"/>
      <c r="I773" s="71"/>
    </row>
    <row r="774" ht="17.25" customHeight="1">
      <c r="A774" s="61"/>
      <c r="B774" s="63" t="b">
        <v>0</v>
      </c>
      <c r="C774" s="64">
        <v>767.0</v>
      </c>
      <c r="D774" s="66"/>
      <c r="E774" s="185"/>
      <c r="F774" s="69"/>
      <c r="G774" s="70"/>
      <c r="H774" s="70"/>
      <c r="I774" s="71"/>
    </row>
    <row r="775" ht="17.25" customHeight="1">
      <c r="A775" s="61"/>
      <c r="B775" s="63" t="b">
        <v>0</v>
      </c>
      <c r="C775" s="64">
        <v>768.0</v>
      </c>
      <c r="D775" s="66"/>
      <c r="E775" s="185"/>
      <c r="F775" s="69"/>
      <c r="G775" s="70"/>
      <c r="H775" s="70"/>
      <c r="I775" s="71"/>
    </row>
    <row r="776" ht="17.25" customHeight="1">
      <c r="A776" s="61"/>
      <c r="B776" s="63" t="b">
        <v>0</v>
      </c>
      <c r="C776" s="64">
        <v>769.0</v>
      </c>
      <c r="D776" s="66"/>
      <c r="E776" s="185"/>
      <c r="F776" s="69"/>
      <c r="G776" s="70"/>
      <c r="H776" s="70"/>
      <c r="I776" s="71"/>
    </row>
    <row r="777" ht="17.25" customHeight="1">
      <c r="A777" s="61"/>
      <c r="B777" s="63" t="b">
        <v>0</v>
      </c>
      <c r="C777" s="64">
        <v>770.0</v>
      </c>
      <c r="D777" s="66"/>
      <c r="E777" s="185"/>
      <c r="F777" s="69"/>
      <c r="G777" s="70"/>
      <c r="H777" s="70"/>
      <c r="I777" s="71"/>
    </row>
    <row r="778" ht="17.25" customHeight="1">
      <c r="A778" s="61"/>
      <c r="B778" s="63" t="b">
        <v>0</v>
      </c>
      <c r="C778" s="64">
        <v>771.0</v>
      </c>
      <c r="D778" s="66"/>
      <c r="E778" s="185"/>
      <c r="F778" s="69"/>
      <c r="G778" s="70"/>
      <c r="H778" s="70"/>
      <c r="I778" s="71"/>
    </row>
    <row r="779" ht="17.25" customHeight="1">
      <c r="A779" s="61"/>
      <c r="B779" s="63" t="b">
        <v>0</v>
      </c>
      <c r="C779" s="64">
        <v>772.0</v>
      </c>
      <c r="D779" s="66"/>
      <c r="E779" s="185"/>
      <c r="F779" s="69"/>
      <c r="G779" s="70"/>
      <c r="H779" s="70"/>
      <c r="I779" s="71"/>
    </row>
    <row r="780" ht="17.25" customHeight="1">
      <c r="A780" s="61"/>
      <c r="B780" s="63" t="b">
        <v>0</v>
      </c>
      <c r="C780" s="64">
        <v>773.0</v>
      </c>
      <c r="D780" s="66"/>
      <c r="E780" s="185"/>
      <c r="F780" s="69"/>
      <c r="G780" s="70"/>
      <c r="H780" s="70"/>
      <c r="I780" s="71"/>
    </row>
    <row r="781" ht="17.25" customHeight="1">
      <c r="A781" s="61"/>
      <c r="B781" s="63" t="b">
        <v>0</v>
      </c>
      <c r="C781" s="64">
        <v>774.0</v>
      </c>
      <c r="D781" s="66"/>
      <c r="E781" s="185"/>
      <c r="F781" s="69"/>
      <c r="G781" s="70"/>
      <c r="H781" s="70"/>
      <c r="I781" s="71"/>
    </row>
    <row r="782" ht="17.25" customHeight="1">
      <c r="A782" s="61"/>
      <c r="B782" s="63" t="b">
        <v>0</v>
      </c>
      <c r="C782" s="64">
        <v>775.0</v>
      </c>
      <c r="D782" s="66"/>
      <c r="E782" s="185"/>
      <c r="F782" s="69"/>
      <c r="G782" s="70"/>
      <c r="H782" s="70"/>
      <c r="I782" s="71"/>
    </row>
    <row r="783" ht="17.25" customHeight="1">
      <c r="A783" s="61"/>
      <c r="B783" s="63" t="b">
        <v>0</v>
      </c>
      <c r="C783" s="64">
        <v>776.0</v>
      </c>
      <c r="D783" s="66"/>
      <c r="E783" s="185"/>
      <c r="F783" s="69"/>
      <c r="G783" s="70"/>
      <c r="H783" s="70"/>
      <c r="I783" s="71"/>
    </row>
    <row r="784" ht="17.25" customHeight="1">
      <c r="A784" s="61"/>
      <c r="B784" s="63" t="b">
        <v>0</v>
      </c>
      <c r="C784" s="64">
        <v>777.0</v>
      </c>
      <c r="D784" s="66"/>
      <c r="E784" s="185"/>
      <c r="F784" s="69"/>
      <c r="G784" s="70"/>
      <c r="H784" s="70"/>
      <c r="I784" s="71"/>
    </row>
    <row r="785" ht="17.25" customHeight="1">
      <c r="A785" s="61"/>
      <c r="B785" s="63" t="b">
        <v>0</v>
      </c>
      <c r="C785" s="64">
        <v>778.0</v>
      </c>
      <c r="D785" s="66"/>
      <c r="E785" s="185"/>
      <c r="F785" s="69"/>
      <c r="G785" s="70"/>
      <c r="H785" s="70"/>
      <c r="I785" s="71"/>
    </row>
    <row r="786" ht="17.25" customHeight="1">
      <c r="A786" s="61"/>
      <c r="B786" s="63" t="b">
        <v>0</v>
      </c>
      <c r="C786" s="64">
        <v>779.0</v>
      </c>
      <c r="D786" s="66"/>
      <c r="E786" s="185"/>
      <c r="F786" s="69"/>
      <c r="G786" s="70"/>
      <c r="H786" s="70"/>
      <c r="I786" s="71"/>
    </row>
    <row r="787" ht="17.25" customHeight="1">
      <c r="A787" s="61"/>
      <c r="B787" s="63" t="b">
        <v>0</v>
      </c>
      <c r="C787" s="64">
        <v>780.0</v>
      </c>
      <c r="D787" s="66"/>
      <c r="E787" s="185"/>
      <c r="F787" s="69"/>
      <c r="G787" s="70"/>
      <c r="H787" s="70"/>
      <c r="I787" s="71"/>
    </row>
    <row r="788" ht="17.25" customHeight="1">
      <c r="A788" s="61"/>
      <c r="B788" s="63" t="b">
        <v>0</v>
      </c>
      <c r="C788" s="64">
        <v>781.0</v>
      </c>
      <c r="D788" s="66"/>
      <c r="E788" s="185"/>
      <c r="F788" s="69"/>
      <c r="G788" s="70"/>
      <c r="H788" s="70"/>
      <c r="I788" s="71"/>
    </row>
    <row r="789" ht="17.25" customHeight="1">
      <c r="A789" s="61"/>
      <c r="B789" s="63" t="b">
        <v>0</v>
      </c>
      <c r="C789" s="64">
        <v>782.0</v>
      </c>
      <c r="D789" s="66"/>
      <c r="E789" s="185"/>
      <c r="F789" s="69"/>
      <c r="G789" s="70"/>
      <c r="H789" s="70"/>
      <c r="I789" s="71"/>
    </row>
    <row r="790" ht="17.25" customHeight="1">
      <c r="A790" s="61"/>
      <c r="B790" s="63" t="b">
        <v>0</v>
      </c>
      <c r="C790" s="64">
        <v>783.0</v>
      </c>
      <c r="D790" s="66"/>
      <c r="E790" s="185"/>
      <c r="F790" s="69"/>
      <c r="G790" s="70"/>
      <c r="H790" s="70"/>
      <c r="I790" s="71"/>
    </row>
    <row r="791" ht="17.25" customHeight="1">
      <c r="A791" s="61"/>
      <c r="B791" s="63" t="b">
        <v>0</v>
      </c>
      <c r="C791" s="64">
        <v>784.0</v>
      </c>
      <c r="D791" s="66"/>
      <c r="E791" s="185"/>
      <c r="F791" s="69"/>
      <c r="G791" s="70"/>
      <c r="H791" s="70"/>
      <c r="I791" s="71"/>
    </row>
    <row r="792" ht="17.25" customHeight="1">
      <c r="A792" s="61"/>
      <c r="B792" s="63" t="b">
        <v>0</v>
      </c>
      <c r="C792" s="64">
        <v>785.0</v>
      </c>
      <c r="D792" s="66"/>
      <c r="E792" s="185"/>
      <c r="F792" s="69"/>
      <c r="G792" s="70"/>
      <c r="H792" s="70"/>
      <c r="I792" s="71"/>
    </row>
    <row r="793" ht="17.25" customHeight="1">
      <c r="A793" s="61"/>
      <c r="B793" s="63" t="b">
        <v>0</v>
      </c>
      <c r="C793" s="64">
        <v>786.0</v>
      </c>
      <c r="D793" s="66"/>
      <c r="E793" s="185"/>
      <c r="F793" s="69"/>
      <c r="G793" s="70"/>
      <c r="H793" s="70"/>
      <c r="I793" s="71"/>
    </row>
    <row r="794" ht="17.25" customHeight="1">
      <c r="A794" s="61"/>
      <c r="B794" s="63" t="b">
        <v>0</v>
      </c>
      <c r="C794" s="64">
        <v>787.0</v>
      </c>
      <c r="D794" s="66"/>
      <c r="E794" s="185"/>
      <c r="F794" s="69"/>
      <c r="G794" s="70"/>
      <c r="H794" s="70"/>
      <c r="I794" s="71"/>
    </row>
    <row r="795" ht="17.25" customHeight="1">
      <c r="A795" s="61"/>
      <c r="B795" s="63" t="b">
        <v>0</v>
      </c>
      <c r="C795" s="64">
        <v>788.0</v>
      </c>
      <c r="D795" s="66"/>
      <c r="E795" s="185"/>
      <c r="F795" s="69"/>
      <c r="G795" s="70"/>
      <c r="H795" s="70"/>
      <c r="I795" s="71"/>
    </row>
    <row r="796" ht="17.25" customHeight="1">
      <c r="A796" s="61"/>
      <c r="B796" s="63" t="b">
        <v>0</v>
      </c>
      <c r="C796" s="64">
        <v>789.0</v>
      </c>
      <c r="D796" s="66"/>
      <c r="E796" s="185"/>
      <c r="F796" s="69"/>
      <c r="G796" s="70"/>
      <c r="H796" s="70"/>
      <c r="I796" s="71"/>
    </row>
    <row r="797" ht="17.25" customHeight="1">
      <c r="A797" s="61"/>
      <c r="B797" s="63" t="b">
        <v>0</v>
      </c>
      <c r="C797" s="64">
        <v>790.0</v>
      </c>
      <c r="D797" s="66"/>
      <c r="E797" s="185"/>
      <c r="F797" s="69"/>
      <c r="G797" s="70"/>
      <c r="H797" s="70"/>
      <c r="I797" s="71"/>
    </row>
    <row r="798" ht="17.25" customHeight="1">
      <c r="A798" s="61"/>
      <c r="B798" s="63" t="b">
        <v>0</v>
      </c>
      <c r="C798" s="64">
        <v>791.0</v>
      </c>
      <c r="D798" s="66"/>
      <c r="E798" s="185"/>
      <c r="F798" s="69"/>
      <c r="G798" s="70"/>
      <c r="H798" s="70"/>
      <c r="I798" s="71"/>
    </row>
    <row r="799" ht="17.25" customHeight="1">
      <c r="A799" s="61"/>
      <c r="B799" s="63" t="b">
        <v>0</v>
      </c>
      <c r="C799" s="64">
        <v>792.0</v>
      </c>
      <c r="D799" s="66"/>
      <c r="E799" s="185"/>
      <c r="F799" s="69"/>
      <c r="G799" s="70"/>
      <c r="H799" s="70"/>
      <c r="I799" s="71"/>
    </row>
    <row r="800" ht="17.25" customHeight="1">
      <c r="A800" s="61"/>
      <c r="B800" s="63" t="b">
        <v>0</v>
      </c>
      <c r="C800" s="64">
        <v>793.0</v>
      </c>
      <c r="D800" s="66"/>
      <c r="E800" s="185"/>
      <c r="F800" s="69"/>
      <c r="G800" s="70"/>
      <c r="H800" s="70"/>
      <c r="I800" s="71"/>
    </row>
    <row r="801" ht="17.25" customHeight="1">
      <c r="A801" s="61"/>
      <c r="B801" s="63" t="b">
        <v>0</v>
      </c>
      <c r="C801" s="64">
        <v>794.0</v>
      </c>
      <c r="D801" s="66"/>
      <c r="E801" s="185"/>
      <c r="F801" s="69"/>
      <c r="G801" s="70"/>
      <c r="H801" s="70"/>
      <c r="I801" s="71"/>
    </row>
    <row r="802" ht="17.25" customHeight="1">
      <c r="A802" s="61"/>
      <c r="B802" s="63" t="b">
        <v>0</v>
      </c>
      <c r="C802" s="64">
        <v>795.0</v>
      </c>
      <c r="D802" s="66"/>
      <c r="E802" s="185"/>
      <c r="F802" s="69"/>
      <c r="G802" s="70"/>
      <c r="H802" s="70"/>
      <c r="I802" s="71"/>
    </row>
    <row r="803" ht="17.25" customHeight="1">
      <c r="A803" s="61"/>
      <c r="B803" s="63" t="b">
        <v>0</v>
      </c>
      <c r="C803" s="64">
        <v>796.0</v>
      </c>
      <c r="D803" s="66"/>
      <c r="E803" s="185"/>
      <c r="F803" s="69"/>
      <c r="G803" s="70"/>
      <c r="H803" s="70"/>
      <c r="I803" s="71"/>
    </row>
    <row r="804" ht="17.25" customHeight="1">
      <c r="A804" s="61"/>
      <c r="B804" s="63" t="b">
        <v>0</v>
      </c>
      <c r="C804" s="64">
        <v>797.0</v>
      </c>
      <c r="D804" s="66"/>
      <c r="E804" s="185"/>
      <c r="F804" s="69"/>
      <c r="G804" s="70"/>
      <c r="H804" s="70"/>
      <c r="I804" s="71"/>
    </row>
    <row r="805" ht="17.25" customHeight="1">
      <c r="A805" s="61"/>
      <c r="B805" s="63" t="b">
        <v>0</v>
      </c>
      <c r="C805" s="64">
        <v>798.0</v>
      </c>
      <c r="D805" s="66"/>
      <c r="E805" s="185"/>
      <c r="F805" s="69"/>
      <c r="G805" s="70"/>
      <c r="H805" s="70"/>
      <c r="I805" s="71"/>
    </row>
    <row r="806" ht="17.25" customHeight="1">
      <c r="A806" s="61"/>
      <c r="B806" s="63" t="b">
        <v>0</v>
      </c>
      <c r="C806" s="64">
        <v>799.0</v>
      </c>
      <c r="D806" s="66"/>
      <c r="E806" s="185"/>
      <c r="F806" s="69"/>
      <c r="G806" s="70"/>
      <c r="H806" s="70"/>
      <c r="I806" s="71"/>
    </row>
    <row r="807" ht="17.25" customHeight="1">
      <c r="A807" s="61"/>
      <c r="B807" s="63" t="b">
        <v>0</v>
      </c>
      <c r="C807" s="64">
        <v>800.0</v>
      </c>
      <c r="D807" s="66"/>
      <c r="E807" s="185"/>
      <c r="F807" s="69"/>
      <c r="G807" s="70"/>
      <c r="H807" s="70"/>
      <c r="I807" s="71"/>
    </row>
    <row r="808" ht="17.25" customHeight="1">
      <c r="A808" s="61"/>
      <c r="B808" s="63" t="b">
        <v>0</v>
      </c>
      <c r="C808" s="64">
        <v>801.0</v>
      </c>
      <c r="D808" s="66"/>
      <c r="E808" s="185"/>
      <c r="F808" s="69"/>
      <c r="G808" s="70"/>
      <c r="H808" s="70"/>
      <c r="I808" s="71"/>
    </row>
    <row r="809" ht="17.25" customHeight="1">
      <c r="A809" s="61"/>
      <c r="B809" s="63" t="b">
        <v>0</v>
      </c>
      <c r="C809" s="64">
        <v>802.0</v>
      </c>
      <c r="D809" s="66"/>
      <c r="E809" s="185"/>
      <c r="F809" s="69"/>
      <c r="G809" s="70"/>
      <c r="H809" s="70"/>
      <c r="I809" s="71"/>
    </row>
    <row r="810" ht="17.25" customHeight="1">
      <c r="A810" s="61"/>
      <c r="B810" s="63" t="b">
        <v>0</v>
      </c>
      <c r="C810" s="64">
        <v>803.0</v>
      </c>
      <c r="D810" s="66"/>
      <c r="E810" s="185"/>
      <c r="F810" s="69"/>
      <c r="G810" s="70"/>
      <c r="H810" s="70"/>
      <c r="I810" s="71"/>
    </row>
    <row r="811" ht="17.25" customHeight="1">
      <c r="A811" s="61"/>
      <c r="B811" s="63" t="b">
        <v>0</v>
      </c>
      <c r="C811" s="64">
        <v>804.0</v>
      </c>
      <c r="D811" s="66"/>
      <c r="E811" s="185"/>
      <c r="F811" s="69"/>
      <c r="G811" s="70"/>
      <c r="H811" s="70"/>
      <c r="I811" s="71"/>
    </row>
    <row r="812" ht="17.25" customHeight="1">
      <c r="A812" s="61"/>
      <c r="B812" s="63" t="b">
        <v>0</v>
      </c>
      <c r="C812" s="64">
        <v>805.0</v>
      </c>
      <c r="D812" s="66"/>
      <c r="E812" s="185"/>
      <c r="F812" s="69"/>
      <c r="G812" s="70"/>
      <c r="H812" s="70"/>
      <c r="I812" s="71"/>
    </row>
    <row r="813" ht="17.25" customHeight="1">
      <c r="A813" s="61"/>
      <c r="B813" s="63" t="b">
        <v>0</v>
      </c>
      <c r="C813" s="64">
        <v>806.0</v>
      </c>
      <c r="D813" s="66"/>
      <c r="E813" s="185"/>
      <c r="F813" s="69"/>
      <c r="G813" s="70"/>
      <c r="H813" s="70"/>
      <c r="I813" s="71"/>
    </row>
    <row r="814" ht="17.25" customHeight="1">
      <c r="A814" s="61"/>
      <c r="B814" s="63" t="b">
        <v>0</v>
      </c>
      <c r="C814" s="64">
        <v>807.0</v>
      </c>
      <c r="D814" s="66"/>
      <c r="E814" s="185"/>
      <c r="F814" s="69"/>
      <c r="G814" s="70"/>
      <c r="H814" s="70"/>
      <c r="I814" s="71"/>
    </row>
    <row r="815" ht="17.25" customHeight="1">
      <c r="A815" s="61"/>
      <c r="B815" s="63" t="b">
        <v>0</v>
      </c>
      <c r="C815" s="64">
        <v>808.0</v>
      </c>
      <c r="D815" s="66"/>
      <c r="E815" s="185"/>
      <c r="F815" s="69"/>
      <c r="G815" s="70"/>
      <c r="H815" s="70"/>
      <c r="I815" s="71"/>
    </row>
    <row r="816" ht="17.25" customHeight="1">
      <c r="A816" s="61"/>
      <c r="B816" s="63" t="b">
        <v>0</v>
      </c>
      <c r="C816" s="64">
        <v>809.0</v>
      </c>
      <c r="D816" s="66"/>
      <c r="E816" s="185"/>
      <c r="F816" s="69"/>
      <c r="G816" s="70"/>
      <c r="H816" s="70"/>
      <c r="I816" s="71"/>
    </row>
    <row r="817" ht="17.25" customHeight="1">
      <c r="A817" s="61"/>
      <c r="B817" s="63" t="b">
        <v>0</v>
      </c>
      <c r="C817" s="64">
        <v>810.0</v>
      </c>
      <c r="D817" s="66"/>
      <c r="E817" s="185"/>
      <c r="F817" s="69"/>
      <c r="G817" s="70"/>
      <c r="H817" s="70"/>
      <c r="I817" s="71"/>
    </row>
    <row r="818" ht="17.25" customHeight="1">
      <c r="A818" s="61"/>
      <c r="B818" s="63" t="b">
        <v>0</v>
      </c>
      <c r="C818" s="64">
        <v>811.0</v>
      </c>
      <c r="D818" s="66"/>
      <c r="E818" s="185"/>
      <c r="F818" s="69"/>
      <c r="G818" s="70"/>
      <c r="H818" s="70"/>
      <c r="I818" s="71"/>
    </row>
    <row r="819" ht="17.25" customHeight="1">
      <c r="A819" s="61"/>
      <c r="B819" s="63" t="b">
        <v>0</v>
      </c>
      <c r="C819" s="64">
        <v>812.0</v>
      </c>
      <c r="D819" s="66"/>
      <c r="E819" s="185"/>
      <c r="F819" s="69"/>
      <c r="G819" s="70"/>
      <c r="H819" s="70"/>
      <c r="I819" s="71"/>
    </row>
    <row r="820" ht="17.25" customHeight="1">
      <c r="A820" s="61"/>
      <c r="B820" s="63" t="b">
        <v>0</v>
      </c>
      <c r="C820" s="64">
        <v>813.0</v>
      </c>
      <c r="D820" s="66"/>
      <c r="E820" s="185"/>
      <c r="F820" s="69"/>
      <c r="G820" s="70"/>
      <c r="H820" s="70"/>
      <c r="I820" s="71"/>
    </row>
    <row r="821" ht="17.25" customHeight="1">
      <c r="A821" s="61"/>
      <c r="B821" s="63" t="b">
        <v>0</v>
      </c>
      <c r="C821" s="64">
        <v>814.0</v>
      </c>
      <c r="D821" s="66"/>
      <c r="E821" s="185"/>
      <c r="F821" s="69"/>
      <c r="G821" s="70"/>
      <c r="H821" s="70"/>
      <c r="I821" s="71"/>
    </row>
    <row r="822" ht="17.25" customHeight="1">
      <c r="A822" s="61"/>
      <c r="B822" s="63" t="b">
        <v>0</v>
      </c>
      <c r="C822" s="64">
        <v>815.0</v>
      </c>
      <c r="D822" s="66"/>
      <c r="E822" s="185"/>
      <c r="F822" s="69"/>
      <c r="G822" s="70"/>
      <c r="H822" s="70"/>
      <c r="I822" s="71"/>
    </row>
    <row r="823" ht="17.25" customHeight="1">
      <c r="A823" s="61"/>
      <c r="B823" s="63" t="b">
        <v>0</v>
      </c>
      <c r="C823" s="64">
        <v>816.0</v>
      </c>
      <c r="D823" s="66"/>
      <c r="E823" s="185"/>
      <c r="F823" s="69"/>
      <c r="G823" s="70"/>
      <c r="H823" s="70"/>
      <c r="I823" s="71"/>
    </row>
    <row r="824" ht="17.25" customHeight="1">
      <c r="A824" s="61"/>
      <c r="B824" s="63" t="b">
        <v>0</v>
      </c>
      <c r="C824" s="64">
        <v>817.0</v>
      </c>
      <c r="D824" s="66"/>
      <c r="E824" s="185"/>
      <c r="F824" s="69"/>
      <c r="G824" s="70"/>
      <c r="H824" s="70"/>
      <c r="I824" s="71"/>
    </row>
    <row r="825" ht="17.25" customHeight="1">
      <c r="A825" s="61"/>
      <c r="B825" s="63" t="b">
        <v>0</v>
      </c>
      <c r="C825" s="64">
        <v>818.0</v>
      </c>
      <c r="D825" s="66"/>
      <c r="E825" s="185"/>
      <c r="F825" s="69"/>
      <c r="G825" s="70"/>
      <c r="H825" s="70"/>
      <c r="I825" s="71"/>
    </row>
    <row r="826" ht="17.25" customHeight="1">
      <c r="A826" s="61"/>
      <c r="B826" s="63" t="b">
        <v>0</v>
      </c>
      <c r="C826" s="64">
        <v>819.0</v>
      </c>
      <c r="D826" s="66"/>
      <c r="E826" s="185"/>
      <c r="F826" s="69"/>
      <c r="G826" s="70"/>
      <c r="H826" s="70"/>
      <c r="I826" s="71"/>
    </row>
    <row r="827" ht="17.25" customHeight="1">
      <c r="A827" s="61"/>
      <c r="B827" s="63" t="b">
        <v>0</v>
      </c>
      <c r="C827" s="64">
        <v>820.0</v>
      </c>
      <c r="D827" s="66"/>
      <c r="E827" s="185"/>
      <c r="F827" s="69"/>
      <c r="G827" s="70"/>
      <c r="H827" s="70"/>
      <c r="I827" s="71"/>
    </row>
    <row r="828" ht="17.25" customHeight="1">
      <c r="A828" s="61"/>
      <c r="B828" s="63" t="b">
        <v>0</v>
      </c>
      <c r="C828" s="64">
        <v>821.0</v>
      </c>
      <c r="D828" s="66"/>
      <c r="E828" s="185"/>
      <c r="F828" s="69"/>
      <c r="G828" s="70"/>
      <c r="H828" s="70"/>
      <c r="I828" s="71"/>
    </row>
    <row r="829" ht="17.25" customHeight="1">
      <c r="A829" s="61"/>
      <c r="B829" s="63" t="b">
        <v>0</v>
      </c>
      <c r="C829" s="64">
        <v>822.0</v>
      </c>
      <c r="D829" s="66"/>
      <c r="E829" s="185"/>
      <c r="F829" s="69"/>
      <c r="G829" s="70"/>
      <c r="H829" s="70"/>
      <c r="I829" s="71"/>
    </row>
    <row r="830" ht="17.25" customHeight="1">
      <c r="A830" s="61"/>
      <c r="B830" s="63" t="b">
        <v>0</v>
      </c>
      <c r="C830" s="64">
        <v>823.0</v>
      </c>
      <c r="D830" s="66"/>
      <c r="E830" s="185"/>
      <c r="F830" s="69"/>
      <c r="G830" s="70"/>
      <c r="H830" s="70"/>
      <c r="I830" s="71"/>
    </row>
    <row r="831" ht="17.25" customHeight="1">
      <c r="A831" s="61"/>
      <c r="B831" s="63" t="b">
        <v>0</v>
      </c>
      <c r="C831" s="64">
        <v>824.0</v>
      </c>
      <c r="D831" s="66"/>
      <c r="E831" s="185"/>
      <c r="F831" s="69"/>
      <c r="G831" s="70"/>
      <c r="H831" s="70"/>
      <c r="I831" s="71"/>
    </row>
    <row r="832" ht="17.25" customHeight="1">
      <c r="A832" s="61"/>
      <c r="B832" s="63" t="b">
        <v>0</v>
      </c>
      <c r="C832" s="64">
        <v>825.0</v>
      </c>
      <c r="D832" s="66"/>
      <c r="E832" s="185"/>
      <c r="F832" s="69"/>
      <c r="G832" s="70"/>
      <c r="H832" s="70"/>
      <c r="I832" s="71"/>
    </row>
    <row r="833" ht="17.25" customHeight="1">
      <c r="A833" s="61"/>
      <c r="B833" s="63" t="b">
        <v>0</v>
      </c>
      <c r="C833" s="64">
        <v>826.0</v>
      </c>
      <c r="D833" s="66"/>
      <c r="E833" s="185"/>
      <c r="F833" s="69"/>
      <c r="G833" s="70"/>
      <c r="H833" s="70"/>
      <c r="I833" s="71"/>
    </row>
    <row r="834" ht="17.25" customHeight="1">
      <c r="A834" s="61"/>
      <c r="B834" s="63" t="b">
        <v>0</v>
      </c>
      <c r="C834" s="64">
        <v>827.0</v>
      </c>
      <c r="D834" s="66"/>
      <c r="E834" s="185"/>
      <c r="F834" s="69"/>
      <c r="G834" s="70"/>
      <c r="H834" s="70"/>
      <c r="I834" s="71"/>
    </row>
    <row r="835" ht="17.25" customHeight="1">
      <c r="A835" s="61"/>
      <c r="B835" s="63" t="b">
        <v>0</v>
      </c>
      <c r="C835" s="64">
        <v>828.0</v>
      </c>
      <c r="D835" s="66"/>
      <c r="E835" s="185"/>
      <c r="F835" s="69"/>
      <c r="G835" s="70"/>
      <c r="H835" s="70"/>
      <c r="I835" s="71"/>
    </row>
    <row r="836" ht="17.25" customHeight="1">
      <c r="A836" s="61"/>
      <c r="B836" s="63" t="b">
        <v>0</v>
      </c>
      <c r="C836" s="64">
        <v>829.0</v>
      </c>
      <c r="D836" s="66"/>
      <c r="E836" s="185"/>
      <c r="F836" s="69"/>
      <c r="G836" s="70"/>
      <c r="H836" s="70"/>
      <c r="I836" s="71"/>
    </row>
    <row r="837" ht="17.25" customHeight="1">
      <c r="A837" s="61"/>
      <c r="B837" s="63" t="b">
        <v>0</v>
      </c>
      <c r="C837" s="64">
        <v>830.0</v>
      </c>
      <c r="D837" s="66"/>
      <c r="E837" s="185"/>
      <c r="F837" s="69"/>
      <c r="G837" s="70"/>
      <c r="H837" s="70"/>
      <c r="I837" s="71"/>
    </row>
    <row r="838" ht="17.25" customHeight="1">
      <c r="A838" s="61"/>
      <c r="B838" s="63" t="b">
        <v>0</v>
      </c>
      <c r="C838" s="64">
        <v>831.0</v>
      </c>
      <c r="D838" s="66"/>
      <c r="E838" s="185"/>
      <c r="F838" s="69"/>
      <c r="G838" s="70"/>
      <c r="H838" s="70"/>
      <c r="I838" s="71"/>
    </row>
    <row r="839" ht="17.25" customHeight="1">
      <c r="A839" s="61"/>
      <c r="B839" s="63" t="b">
        <v>0</v>
      </c>
      <c r="C839" s="64">
        <v>832.0</v>
      </c>
      <c r="D839" s="66"/>
      <c r="E839" s="185"/>
      <c r="F839" s="69"/>
      <c r="G839" s="70"/>
      <c r="H839" s="70"/>
      <c r="I839" s="71"/>
    </row>
    <row r="840" ht="17.25" customHeight="1">
      <c r="A840" s="61"/>
      <c r="B840" s="63" t="b">
        <v>0</v>
      </c>
      <c r="C840" s="64">
        <v>833.0</v>
      </c>
      <c r="D840" s="66"/>
      <c r="E840" s="185"/>
      <c r="F840" s="69"/>
      <c r="G840" s="70"/>
      <c r="H840" s="70"/>
      <c r="I840" s="71"/>
    </row>
    <row r="841" ht="17.25" customHeight="1">
      <c r="A841" s="61"/>
      <c r="B841" s="63" t="b">
        <v>0</v>
      </c>
      <c r="C841" s="64">
        <v>834.0</v>
      </c>
      <c r="D841" s="66"/>
      <c r="E841" s="185"/>
      <c r="F841" s="69"/>
      <c r="G841" s="70"/>
      <c r="H841" s="70"/>
      <c r="I841" s="71"/>
    </row>
    <row r="842" ht="17.25" customHeight="1">
      <c r="A842" s="61"/>
      <c r="B842" s="63" t="b">
        <v>0</v>
      </c>
      <c r="C842" s="64">
        <v>835.0</v>
      </c>
      <c r="D842" s="66"/>
      <c r="E842" s="185"/>
      <c r="F842" s="69"/>
      <c r="G842" s="70"/>
      <c r="H842" s="70"/>
      <c r="I842" s="71"/>
    </row>
    <row r="843" ht="17.25" customHeight="1">
      <c r="A843" s="61"/>
      <c r="B843" s="63" t="b">
        <v>0</v>
      </c>
      <c r="C843" s="64">
        <v>836.0</v>
      </c>
      <c r="D843" s="66"/>
      <c r="E843" s="185"/>
      <c r="F843" s="69"/>
      <c r="G843" s="70"/>
      <c r="H843" s="70"/>
      <c r="I843" s="71"/>
    </row>
    <row r="844" ht="17.25" customHeight="1">
      <c r="A844" s="61"/>
      <c r="B844" s="63" t="b">
        <v>0</v>
      </c>
      <c r="C844" s="64">
        <v>837.0</v>
      </c>
      <c r="D844" s="66"/>
      <c r="E844" s="185"/>
      <c r="F844" s="69"/>
      <c r="G844" s="70"/>
      <c r="H844" s="70"/>
      <c r="I844" s="71"/>
    </row>
    <row r="845" ht="17.25" customHeight="1">
      <c r="A845" s="61"/>
      <c r="B845" s="63" t="b">
        <v>0</v>
      </c>
      <c r="C845" s="64">
        <v>838.0</v>
      </c>
      <c r="D845" s="66"/>
      <c r="E845" s="185"/>
      <c r="F845" s="69"/>
      <c r="G845" s="70"/>
      <c r="H845" s="70"/>
      <c r="I845" s="71"/>
    </row>
    <row r="846" ht="17.25" customHeight="1">
      <c r="A846" s="61"/>
      <c r="B846" s="63" t="b">
        <v>0</v>
      </c>
      <c r="C846" s="64">
        <v>839.0</v>
      </c>
      <c r="D846" s="66"/>
      <c r="E846" s="185"/>
      <c r="F846" s="69"/>
      <c r="G846" s="70"/>
      <c r="H846" s="70"/>
      <c r="I846" s="71"/>
    </row>
    <row r="847" ht="17.25" customHeight="1">
      <c r="A847" s="61"/>
      <c r="B847" s="63" t="b">
        <v>0</v>
      </c>
      <c r="C847" s="64">
        <v>840.0</v>
      </c>
      <c r="D847" s="66"/>
      <c r="E847" s="185"/>
      <c r="F847" s="69"/>
      <c r="G847" s="70"/>
      <c r="H847" s="70"/>
      <c r="I847" s="71"/>
    </row>
    <row r="848" ht="17.25" customHeight="1">
      <c r="A848" s="61"/>
      <c r="B848" s="63" t="b">
        <v>0</v>
      </c>
      <c r="C848" s="64">
        <v>841.0</v>
      </c>
      <c r="D848" s="66"/>
      <c r="E848" s="185"/>
      <c r="F848" s="69"/>
      <c r="G848" s="70"/>
      <c r="H848" s="70"/>
      <c r="I848" s="71"/>
    </row>
    <row r="849" ht="17.25" customHeight="1">
      <c r="A849" s="61"/>
      <c r="B849" s="63" t="b">
        <v>0</v>
      </c>
      <c r="C849" s="64">
        <v>842.0</v>
      </c>
      <c r="D849" s="66"/>
      <c r="E849" s="185"/>
      <c r="F849" s="69"/>
      <c r="G849" s="70"/>
      <c r="H849" s="70"/>
      <c r="I849" s="71"/>
    </row>
    <row r="850" ht="17.25" customHeight="1">
      <c r="A850" s="61"/>
      <c r="B850" s="63" t="b">
        <v>0</v>
      </c>
      <c r="C850" s="64">
        <v>843.0</v>
      </c>
      <c r="D850" s="66"/>
      <c r="E850" s="185"/>
      <c r="F850" s="69"/>
      <c r="G850" s="70"/>
      <c r="H850" s="70"/>
      <c r="I850" s="71"/>
    </row>
    <row r="851" ht="17.25" customHeight="1">
      <c r="A851" s="61"/>
      <c r="B851" s="63" t="b">
        <v>0</v>
      </c>
      <c r="C851" s="64">
        <v>844.0</v>
      </c>
      <c r="D851" s="66"/>
      <c r="E851" s="185"/>
      <c r="F851" s="69"/>
      <c r="G851" s="70"/>
      <c r="H851" s="70"/>
      <c r="I851" s="71"/>
    </row>
    <row r="852" ht="17.25" customHeight="1">
      <c r="A852" s="61"/>
      <c r="B852" s="63" t="b">
        <v>0</v>
      </c>
      <c r="C852" s="64">
        <v>845.0</v>
      </c>
      <c r="D852" s="66"/>
      <c r="E852" s="185"/>
      <c r="F852" s="69"/>
      <c r="G852" s="70"/>
      <c r="H852" s="70"/>
      <c r="I852" s="71"/>
    </row>
    <row r="853" ht="17.25" customHeight="1">
      <c r="A853" s="61"/>
      <c r="B853" s="63" t="b">
        <v>0</v>
      </c>
      <c r="C853" s="64">
        <v>846.0</v>
      </c>
      <c r="D853" s="66"/>
      <c r="E853" s="185"/>
      <c r="F853" s="69"/>
      <c r="G853" s="70"/>
      <c r="H853" s="70"/>
      <c r="I853" s="71"/>
    </row>
    <row r="854" ht="17.25" customHeight="1">
      <c r="A854" s="61"/>
      <c r="B854" s="63" t="b">
        <v>0</v>
      </c>
      <c r="C854" s="64">
        <v>847.0</v>
      </c>
      <c r="D854" s="66"/>
      <c r="E854" s="185"/>
      <c r="F854" s="69"/>
      <c r="G854" s="70"/>
      <c r="H854" s="70"/>
      <c r="I854" s="71"/>
    </row>
    <row r="855" ht="17.25" customHeight="1">
      <c r="A855" s="61"/>
      <c r="B855" s="63" t="b">
        <v>0</v>
      </c>
      <c r="C855" s="64">
        <v>848.0</v>
      </c>
      <c r="D855" s="66"/>
      <c r="E855" s="185"/>
      <c r="F855" s="69"/>
      <c r="G855" s="70"/>
      <c r="H855" s="70"/>
      <c r="I855" s="71"/>
    </row>
    <row r="856" ht="17.25" customHeight="1">
      <c r="A856" s="61"/>
      <c r="B856" s="63" t="b">
        <v>0</v>
      </c>
      <c r="C856" s="64">
        <v>849.0</v>
      </c>
      <c r="D856" s="66"/>
      <c r="E856" s="185"/>
      <c r="F856" s="69"/>
      <c r="G856" s="70"/>
      <c r="H856" s="70"/>
      <c r="I856" s="71"/>
    </row>
    <row r="857" ht="17.25" customHeight="1">
      <c r="A857" s="61"/>
      <c r="B857" s="63" t="b">
        <v>0</v>
      </c>
      <c r="C857" s="64">
        <v>850.0</v>
      </c>
      <c r="D857" s="66"/>
      <c r="E857" s="185"/>
      <c r="F857" s="69"/>
      <c r="G857" s="70"/>
      <c r="H857" s="70"/>
      <c r="I857" s="71"/>
    </row>
    <row r="858" ht="17.25" customHeight="1">
      <c r="A858" s="61"/>
      <c r="B858" s="63" t="b">
        <v>0</v>
      </c>
      <c r="C858" s="64">
        <v>851.0</v>
      </c>
      <c r="D858" s="66"/>
      <c r="E858" s="185"/>
      <c r="F858" s="69"/>
      <c r="G858" s="70"/>
      <c r="H858" s="70"/>
      <c r="I858" s="71"/>
    </row>
    <row r="859" ht="17.25" customHeight="1">
      <c r="A859" s="61"/>
      <c r="B859" s="63" t="b">
        <v>0</v>
      </c>
      <c r="C859" s="64">
        <v>852.0</v>
      </c>
      <c r="D859" s="66"/>
      <c r="E859" s="185"/>
      <c r="F859" s="69"/>
      <c r="G859" s="70"/>
      <c r="H859" s="70"/>
      <c r="I859" s="71"/>
    </row>
    <row r="860" ht="17.25" customHeight="1">
      <c r="A860" s="61"/>
      <c r="B860" s="63" t="b">
        <v>0</v>
      </c>
      <c r="C860" s="64">
        <v>853.0</v>
      </c>
      <c r="D860" s="66"/>
      <c r="E860" s="185"/>
      <c r="F860" s="69"/>
      <c r="G860" s="70"/>
      <c r="H860" s="70"/>
      <c r="I860" s="71"/>
    </row>
    <row r="861" ht="17.25" customHeight="1">
      <c r="A861" s="61"/>
      <c r="B861" s="63" t="b">
        <v>0</v>
      </c>
      <c r="C861" s="64">
        <v>854.0</v>
      </c>
      <c r="D861" s="66"/>
      <c r="E861" s="185"/>
      <c r="F861" s="69"/>
      <c r="G861" s="70"/>
      <c r="H861" s="70"/>
      <c r="I861" s="71"/>
    </row>
    <row r="862" ht="17.25" customHeight="1">
      <c r="A862" s="61"/>
      <c r="B862" s="63" t="b">
        <v>0</v>
      </c>
      <c r="C862" s="64">
        <v>855.0</v>
      </c>
      <c r="D862" s="66"/>
      <c r="E862" s="185"/>
      <c r="F862" s="69"/>
      <c r="G862" s="70"/>
      <c r="H862" s="70"/>
      <c r="I862" s="71"/>
    </row>
    <row r="863" ht="17.25" customHeight="1">
      <c r="A863" s="61"/>
      <c r="B863" s="63" t="b">
        <v>0</v>
      </c>
      <c r="C863" s="64">
        <v>856.0</v>
      </c>
      <c r="D863" s="66"/>
      <c r="E863" s="185"/>
      <c r="F863" s="69"/>
      <c r="G863" s="70"/>
      <c r="H863" s="70"/>
      <c r="I863" s="71"/>
    </row>
    <row r="864" ht="17.25" customHeight="1">
      <c r="A864" s="61"/>
      <c r="B864" s="63" t="b">
        <v>0</v>
      </c>
      <c r="C864" s="64">
        <v>857.0</v>
      </c>
      <c r="D864" s="66"/>
      <c r="E864" s="185"/>
      <c r="F864" s="69"/>
      <c r="G864" s="70"/>
      <c r="H864" s="70"/>
      <c r="I864" s="71"/>
    </row>
    <row r="865" ht="17.25" customHeight="1">
      <c r="A865" s="61"/>
      <c r="B865" s="63" t="b">
        <v>0</v>
      </c>
      <c r="C865" s="64">
        <v>858.0</v>
      </c>
      <c r="D865" s="66"/>
      <c r="E865" s="185"/>
      <c r="F865" s="69"/>
      <c r="G865" s="70"/>
      <c r="H865" s="70"/>
      <c r="I865" s="71"/>
    </row>
    <row r="866" ht="17.25" customHeight="1">
      <c r="A866" s="61"/>
      <c r="B866" s="63" t="b">
        <v>0</v>
      </c>
      <c r="C866" s="64">
        <v>859.0</v>
      </c>
      <c r="D866" s="66"/>
      <c r="E866" s="185"/>
      <c r="F866" s="69"/>
      <c r="G866" s="70"/>
      <c r="H866" s="70"/>
      <c r="I866" s="71"/>
    </row>
    <row r="867" ht="17.25" customHeight="1">
      <c r="A867" s="61"/>
      <c r="B867" s="63" t="b">
        <v>0</v>
      </c>
      <c r="C867" s="64">
        <v>860.0</v>
      </c>
      <c r="D867" s="66"/>
      <c r="E867" s="185"/>
      <c r="F867" s="69"/>
      <c r="G867" s="70"/>
      <c r="H867" s="70"/>
      <c r="I867" s="71"/>
    </row>
    <row r="868" ht="17.25" customHeight="1">
      <c r="A868" s="61"/>
      <c r="B868" s="63" t="b">
        <v>0</v>
      </c>
      <c r="C868" s="64">
        <v>861.0</v>
      </c>
      <c r="D868" s="66"/>
      <c r="E868" s="185"/>
      <c r="F868" s="69"/>
      <c r="G868" s="70"/>
      <c r="H868" s="70"/>
      <c r="I868" s="71"/>
    </row>
    <row r="869" ht="17.25" customHeight="1">
      <c r="A869" s="61"/>
      <c r="B869" s="63" t="b">
        <v>0</v>
      </c>
      <c r="C869" s="64">
        <v>862.0</v>
      </c>
      <c r="D869" s="66"/>
      <c r="E869" s="185"/>
      <c r="F869" s="69"/>
      <c r="G869" s="70"/>
      <c r="H869" s="70"/>
      <c r="I869" s="71"/>
    </row>
    <row r="870" ht="17.25" customHeight="1">
      <c r="A870" s="61"/>
      <c r="B870" s="63" t="b">
        <v>0</v>
      </c>
      <c r="C870" s="64">
        <v>863.0</v>
      </c>
      <c r="D870" s="66"/>
      <c r="E870" s="185"/>
      <c r="F870" s="69"/>
      <c r="G870" s="70"/>
      <c r="H870" s="70"/>
      <c r="I870" s="71"/>
    </row>
    <row r="871" ht="17.25" customHeight="1">
      <c r="A871" s="61"/>
      <c r="B871" s="63" t="b">
        <v>0</v>
      </c>
      <c r="C871" s="64">
        <v>864.0</v>
      </c>
      <c r="D871" s="66"/>
      <c r="E871" s="185"/>
      <c r="F871" s="69"/>
      <c r="G871" s="70"/>
      <c r="H871" s="70"/>
      <c r="I871" s="71"/>
    </row>
    <row r="872" ht="17.25" customHeight="1">
      <c r="A872" s="61"/>
      <c r="B872" s="63" t="b">
        <v>0</v>
      </c>
      <c r="C872" s="64">
        <v>865.0</v>
      </c>
      <c r="D872" s="66"/>
      <c r="E872" s="185"/>
      <c r="F872" s="69"/>
      <c r="G872" s="70"/>
      <c r="H872" s="70"/>
      <c r="I872" s="71"/>
    </row>
    <row r="873" ht="17.25" customHeight="1">
      <c r="A873" s="61"/>
      <c r="B873" s="63" t="b">
        <v>0</v>
      </c>
      <c r="C873" s="64">
        <v>866.0</v>
      </c>
      <c r="D873" s="66"/>
      <c r="E873" s="185"/>
      <c r="F873" s="69"/>
      <c r="G873" s="70"/>
      <c r="H873" s="70"/>
      <c r="I873" s="71"/>
    </row>
    <row r="874" ht="17.25" customHeight="1">
      <c r="A874" s="61"/>
      <c r="B874" s="63" t="b">
        <v>0</v>
      </c>
      <c r="C874" s="64">
        <v>867.0</v>
      </c>
      <c r="D874" s="66"/>
      <c r="E874" s="185"/>
      <c r="F874" s="69"/>
      <c r="G874" s="70"/>
      <c r="H874" s="70"/>
      <c r="I874" s="71"/>
    </row>
    <row r="875" ht="17.25" customHeight="1">
      <c r="A875" s="61"/>
      <c r="B875" s="63" t="b">
        <v>0</v>
      </c>
      <c r="C875" s="64">
        <v>868.0</v>
      </c>
      <c r="D875" s="66"/>
      <c r="E875" s="185"/>
      <c r="F875" s="69"/>
      <c r="G875" s="70"/>
      <c r="H875" s="70"/>
      <c r="I875" s="71"/>
    </row>
    <row r="876" ht="17.25" customHeight="1">
      <c r="A876" s="61"/>
      <c r="B876" s="63" t="b">
        <v>0</v>
      </c>
      <c r="C876" s="64">
        <v>869.0</v>
      </c>
      <c r="D876" s="66"/>
      <c r="E876" s="185"/>
      <c r="F876" s="69"/>
      <c r="G876" s="70"/>
      <c r="H876" s="70"/>
      <c r="I876" s="71"/>
    </row>
    <row r="877" ht="17.25" customHeight="1">
      <c r="A877" s="61"/>
      <c r="B877" s="63" t="b">
        <v>0</v>
      </c>
      <c r="C877" s="64">
        <v>870.0</v>
      </c>
      <c r="D877" s="66"/>
      <c r="E877" s="185"/>
      <c r="F877" s="69"/>
      <c r="G877" s="70"/>
      <c r="H877" s="70"/>
      <c r="I877" s="71"/>
    </row>
    <row r="878" ht="17.25" customHeight="1">
      <c r="A878" s="61"/>
      <c r="B878" s="63" t="b">
        <v>0</v>
      </c>
      <c r="C878" s="64">
        <v>871.0</v>
      </c>
      <c r="D878" s="66"/>
      <c r="E878" s="185"/>
      <c r="F878" s="69"/>
      <c r="G878" s="70"/>
      <c r="H878" s="70"/>
      <c r="I878" s="71"/>
    </row>
    <row r="879" ht="17.25" customHeight="1">
      <c r="A879" s="61"/>
      <c r="B879" s="63" t="b">
        <v>0</v>
      </c>
      <c r="C879" s="64">
        <v>872.0</v>
      </c>
      <c r="D879" s="66"/>
      <c r="E879" s="185"/>
      <c r="F879" s="69"/>
      <c r="G879" s="70"/>
      <c r="H879" s="70"/>
      <c r="I879" s="71"/>
    </row>
    <row r="880" ht="17.25" customHeight="1">
      <c r="A880" s="61"/>
      <c r="B880" s="63" t="b">
        <v>0</v>
      </c>
      <c r="C880" s="64">
        <v>873.0</v>
      </c>
      <c r="D880" s="66"/>
      <c r="E880" s="185"/>
      <c r="F880" s="69"/>
      <c r="G880" s="70"/>
      <c r="H880" s="70"/>
      <c r="I880" s="71"/>
    </row>
    <row r="881" ht="17.25" customHeight="1">
      <c r="A881" s="61"/>
      <c r="B881" s="63" t="b">
        <v>0</v>
      </c>
      <c r="C881" s="64">
        <v>874.0</v>
      </c>
      <c r="D881" s="66"/>
      <c r="E881" s="185"/>
      <c r="F881" s="69"/>
      <c r="G881" s="70"/>
      <c r="H881" s="70"/>
      <c r="I881" s="71"/>
    </row>
    <row r="882" ht="17.25" customHeight="1">
      <c r="A882" s="61"/>
      <c r="B882" s="63" t="b">
        <v>0</v>
      </c>
      <c r="C882" s="64">
        <v>875.0</v>
      </c>
      <c r="D882" s="66"/>
      <c r="E882" s="185"/>
      <c r="F882" s="69"/>
      <c r="G882" s="70"/>
      <c r="H882" s="70"/>
      <c r="I882" s="71"/>
    </row>
    <row r="883" ht="17.25" customHeight="1">
      <c r="A883" s="61"/>
      <c r="B883" s="63" t="b">
        <v>0</v>
      </c>
      <c r="C883" s="64">
        <v>876.0</v>
      </c>
      <c r="D883" s="66"/>
      <c r="E883" s="185"/>
      <c r="F883" s="69"/>
      <c r="G883" s="70"/>
      <c r="H883" s="70"/>
      <c r="I883" s="71"/>
    </row>
    <row r="884" ht="17.25" customHeight="1">
      <c r="A884" s="61"/>
      <c r="B884" s="63" t="b">
        <v>0</v>
      </c>
      <c r="C884" s="64">
        <v>877.0</v>
      </c>
      <c r="D884" s="66"/>
      <c r="E884" s="185"/>
      <c r="F884" s="69"/>
      <c r="G884" s="70"/>
      <c r="H884" s="70"/>
      <c r="I884" s="71"/>
    </row>
    <row r="885" ht="17.25" customHeight="1">
      <c r="A885" s="61"/>
      <c r="B885" s="63" t="b">
        <v>0</v>
      </c>
      <c r="C885" s="64">
        <v>878.0</v>
      </c>
      <c r="D885" s="66"/>
      <c r="E885" s="185"/>
      <c r="F885" s="69"/>
      <c r="G885" s="70"/>
      <c r="H885" s="70"/>
      <c r="I885" s="71"/>
    </row>
    <row r="886" ht="17.25" customHeight="1">
      <c r="A886" s="61"/>
      <c r="B886" s="63" t="b">
        <v>0</v>
      </c>
      <c r="C886" s="64">
        <v>879.0</v>
      </c>
      <c r="D886" s="66"/>
      <c r="E886" s="185"/>
      <c r="F886" s="69"/>
      <c r="G886" s="70"/>
      <c r="H886" s="70"/>
      <c r="I886" s="71"/>
    </row>
    <row r="887" ht="17.25" customHeight="1">
      <c r="A887" s="61"/>
      <c r="B887" s="63" t="b">
        <v>0</v>
      </c>
      <c r="C887" s="64">
        <v>880.0</v>
      </c>
      <c r="D887" s="66"/>
      <c r="E887" s="185"/>
      <c r="F887" s="69"/>
      <c r="G887" s="70"/>
      <c r="H887" s="70"/>
      <c r="I887" s="71"/>
    </row>
    <row r="888" ht="17.25" customHeight="1">
      <c r="A888" s="61"/>
      <c r="B888" s="63" t="b">
        <v>0</v>
      </c>
      <c r="C888" s="64">
        <v>881.0</v>
      </c>
      <c r="D888" s="66"/>
      <c r="E888" s="185"/>
      <c r="F888" s="69"/>
      <c r="G888" s="70"/>
      <c r="H888" s="70"/>
      <c r="I888" s="71"/>
    </row>
    <row r="889" ht="17.25" customHeight="1">
      <c r="A889" s="61"/>
      <c r="B889" s="63" t="b">
        <v>0</v>
      </c>
      <c r="C889" s="64">
        <v>882.0</v>
      </c>
      <c r="D889" s="66"/>
      <c r="E889" s="185"/>
      <c r="F889" s="69"/>
      <c r="G889" s="70"/>
      <c r="H889" s="70"/>
      <c r="I889" s="71"/>
    </row>
    <row r="890" ht="17.25" customHeight="1">
      <c r="A890" s="61"/>
      <c r="B890" s="63" t="b">
        <v>0</v>
      </c>
      <c r="C890" s="64">
        <v>883.0</v>
      </c>
      <c r="D890" s="66"/>
      <c r="E890" s="185"/>
      <c r="F890" s="69"/>
      <c r="G890" s="70"/>
      <c r="H890" s="70"/>
      <c r="I890" s="71"/>
    </row>
    <row r="891" ht="17.25" customHeight="1">
      <c r="A891" s="61"/>
      <c r="B891" s="63" t="b">
        <v>0</v>
      </c>
      <c r="C891" s="64">
        <v>884.0</v>
      </c>
      <c r="D891" s="66"/>
      <c r="E891" s="185"/>
      <c r="F891" s="69"/>
      <c r="G891" s="70"/>
      <c r="H891" s="70"/>
      <c r="I891" s="71"/>
    </row>
    <row r="892" ht="17.25" customHeight="1">
      <c r="A892" s="61"/>
      <c r="B892" s="63" t="b">
        <v>0</v>
      </c>
      <c r="C892" s="64">
        <v>885.0</v>
      </c>
      <c r="D892" s="66"/>
      <c r="E892" s="185"/>
      <c r="F892" s="69"/>
      <c r="G892" s="70"/>
      <c r="H892" s="70"/>
      <c r="I892" s="71"/>
    </row>
    <row r="893" ht="17.25" customHeight="1">
      <c r="A893" s="61"/>
      <c r="B893" s="63" t="b">
        <v>0</v>
      </c>
      <c r="C893" s="64">
        <v>886.0</v>
      </c>
      <c r="D893" s="66"/>
      <c r="E893" s="185"/>
      <c r="F893" s="69"/>
      <c r="G893" s="70"/>
      <c r="H893" s="70"/>
      <c r="I893" s="71"/>
    </row>
    <row r="894" ht="17.25" customHeight="1">
      <c r="A894" s="61"/>
      <c r="B894" s="63" t="b">
        <v>0</v>
      </c>
      <c r="C894" s="64">
        <v>887.0</v>
      </c>
      <c r="D894" s="66"/>
      <c r="E894" s="185"/>
      <c r="F894" s="69"/>
      <c r="G894" s="70"/>
      <c r="H894" s="70"/>
      <c r="I894" s="71"/>
    </row>
    <row r="895" ht="17.25" customHeight="1">
      <c r="A895" s="61"/>
      <c r="B895" s="63" t="b">
        <v>0</v>
      </c>
      <c r="C895" s="64">
        <v>888.0</v>
      </c>
      <c r="D895" s="66"/>
      <c r="E895" s="185"/>
      <c r="F895" s="69"/>
      <c r="G895" s="70"/>
      <c r="H895" s="70"/>
      <c r="I895" s="71"/>
    </row>
    <row r="896" ht="17.25" customHeight="1">
      <c r="A896" s="61"/>
      <c r="B896" s="63" t="b">
        <v>0</v>
      </c>
      <c r="C896" s="64">
        <v>889.0</v>
      </c>
      <c r="D896" s="66"/>
      <c r="E896" s="185"/>
      <c r="F896" s="69"/>
      <c r="G896" s="70"/>
      <c r="H896" s="70"/>
      <c r="I896" s="71"/>
    </row>
    <row r="897" ht="17.25" customHeight="1">
      <c r="A897" s="61"/>
      <c r="B897" s="63" t="b">
        <v>0</v>
      </c>
      <c r="C897" s="64">
        <v>890.0</v>
      </c>
      <c r="D897" s="66"/>
      <c r="E897" s="185"/>
      <c r="F897" s="69"/>
      <c r="G897" s="70"/>
      <c r="H897" s="70"/>
      <c r="I897" s="71"/>
    </row>
    <row r="898" ht="17.25" customHeight="1">
      <c r="A898" s="61"/>
      <c r="B898" s="63" t="b">
        <v>0</v>
      </c>
      <c r="C898" s="64">
        <v>891.0</v>
      </c>
      <c r="D898" s="66"/>
      <c r="E898" s="185"/>
      <c r="F898" s="69"/>
      <c r="G898" s="70"/>
      <c r="H898" s="70"/>
      <c r="I898" s="71"/>
    </row>
    <row r="899" ht="17.25" customHeight="1">
      <c r="A899" s="61"/>
      <c r="B899" s="63" t="b">
        <v>0</v>
      </c>
      <c r="C899" s="64">
        <v>892.0</v>
      </c>
      <c r="D899" s="66"/>
      <c r="E899" s="185"/>
      <c r="F899" s="69"/>
      <c r="G899" s="70"/>
      <c r="H899" s="70"/>
      <c r="I899" s="71"/>
    </row>
    <row r="900" ht="17.25" customHeight="1">
      <c r="A900" s="61"/>
      <c r="B900" s="63" t="b">
        <v>0</v>
      </c>
      <c r="C900" s="64">
        <v>893.0</v>
      </c>
      <c r="D900" s="66"/>
      <c r="E900" s="185"/>
      <c r="F900" s="69"/>
      <c r="G900" s="70"/>
      <c r="H900" s="70"/>
      <c r="I900" s="71"/>
    </row>
    <row r="901" ht="17.25" customHeight="1">
      <c r="A901" s="61"/>
      <c r="B901" s="63" t="b">
        <v>0</v>
      </c>
      <c r="C901" s="64">
        <v>894.0</v>
      </c>
      <c r="D901" s="66"/>
      <c r="E901" s="185"/>
      <c r="F901" s="69"/>
      <c r="G901" s="70"/>
      <c r="H901" s="70"/>
      <c r="I901" s="71"/>
    </row>
    <row r="902" ht="17.25" customHeight="1">
      <c r="A902" s="61"/>
      <c r="B902" s="63" t="b">
        <v>0</v>
      </c>
      <c r="C902" s="64">
        <v>895.0</v>
      </c>
      <c r="D902" s="66"/>
      <c r="E902" s="185"/>
      <c r="F902" s="69"/>
      <c r="G902" s="70"/>
      <c r="H902" s="70"/>
      <c r="I902" s="71"/>
    </row>
    <row r="903" ht="17.25" customHeight="1">
      <c r="A903" s="61"/>
      <c r="B903" s="63" t="b">
        <v>0</v>
      </c>
      <c r="C903" s="64">
        <v>896.0</v>
      </c>
      <c r="D903" s="66"/>
      <c r="E903" s="185"/>
      <c r="F903" s="69"/>
      <c r="G903" s="70"/>
      <c r="H903" s="70"/>
      <c r="I903" s="71"/>
    </row>
    <row r="904" ht="17.25" customHeight="1">
      <c r="A904" s="61"/>
      <c r="B904" s="63" t="b">
        <v>0</v>
      </c>
      <c r="C904" s="64">
        <v>897.0</v>
      </c>
      <c r="D904" s="66"/>
      <c r="E904" s="185"/>
      <c r="F904" s="69"/>
      <c r="G904" s="70"/>
      <c r="H904" s="70"/>
      <c r="I904" s="71"/>
    </row>
    <row r="905" ht="17.25" customHeight="1">
      <c r="A905" s="61"/>
      <c r="B905" s="63" t="b">
        <v>0</v>
      </c>
      <c r="C905" s="64">
        <v>898.0</v>
      </c>
      <c r="D905" s="66"/>
      <c r="E905" s="185"/>
      <c r="F905" s="69"/>
      <c r="G905" s="70"/>
      <c r="H905" s="70"/>
      <c r="I905" s="71"/>
    </row>
    <row r="906" ht="17.25" customHeight="1">
      <c r="A906" s="61"/>
      <c r="B906" s="63" t="b">
        <v>0</v>
      </c>
      <c r="C906" s="64">
        <v>899.0</v>
      </c>
      <c r="D906" s="66"/>
      <c r="E906" s="185"/>
      <c r="F906" s="69"/>
      <c r="G906" s="70"/>
      <c r="H906" s="70"/>
      <c r="I906" s="71"/>
    </row>
    <row r="907" ht="17.25" customHeight="1">
      <c r="A907" s="61"/>
      <c r="B907" s="63" t="b">
        <v>0</v>
      </c>
      <c r="C907" s="64">
        <v>900.0</v>
      </c>
      <c r="D907" s="66"/>
      <c r="E907" s="185"/>
      <c r="F907" s="69"/>
      <c r="G907" s="70"/>
      <c r="H907" s="70"/>
      <c r="I907" s="71"/>
    </row>
    <row r="908" ht="17.25" customHeight="1">
      <c r="A908" s="61"/>
      <c r="B908" s="63" t="b">
        <v>0</v>
      </c>
      <c r="C908" s="64">
        <v>901.0</v>
      </c>
      <c r="D908" s="66"/>
      <c r="E908" s="185"/>
      <c r="F908" s="69"/>
      <c r="G908" s="70"/>
      <c r="H908" s="70"/>
      <c r="I908" s="71"/>
    </row>
    <row r="909" ht="17.25" customHeight="1">
      <c r="A909" s="61"/>
      <c r="B909" s="63" t="b">
        <v>0</v>
      </c>
      <c r="C909" s="64">
        <v>902.0</v>
      </c>
      <c r="D909" s="66"/>
      <c r="E909" s="185"/>
      <c r="F909" s="69"/>
      <c r="G909" s="70"/>
      <c r="H909" s="70"/>
      <c r="I909" s="71"/>
    </row>
    <row r="910" ht="17.25" customHeight="1">
      <c r="A910" s="61"/>
      <c r="B910" s="63" t="b">
        <v>0</v>
      </c>
      <c r="C910" s="64">
        <v>903.0</v>
      </c>
      <c r="D910" s="66"/>
      <c r="E910" s="185"/>
      <c r="F910" s="69"/>
      <c r="G910" s="70"/>
      <c r="H910" s="70"/>
      <c r="I910" s="71"/>
    </row>
    <row r="911" ht="17.25" customHeight="1">
      <c r="A911" s="61"/>
      <c r="B911" s="63" t="b">
        <v>0</v>
      </c>
      <c r="C911" s="64">
        <v>904.0</v>
      </c>
      <c r="D911" s="66"/>
      <c r="E911" s="185"/>
      <c r="F911" s="69"/>
      <c r="G911" s="70"/>
      <c r="H911" s="70"/>
      <c r="I911" s="71"/>
    </row>
    <row r="912" ht="17.25" customHeight="1">
      <c r="A912" s="61"/>
      <c r="B912" s="63" t="b">
        <v>0</v>
      </c>
      <c r="C912" s="64">
        <v>905.0</v>
      </c>
      <c r="D912" s="66"/>
      <c r="E912" s="185"/>
      <c r="F912" s="69"/>
      <c r="G912" s="70"/>
      <c r="H912" s="70"/>
      <c r="I912" s="71"/>
    </row>
    <row r="913" ht="17.25" customHeight="1">
      <c r="A913" s="61"/>
      <c r="B913" s="63" t="b">
        <v>0</v>
      </c>
      <c r="C913" s="64">
        <v>906.0</v>
      </c>
      <c r="D913" s="66"/>
      <c r="E913" s="185"/>
      <c r="F913" s="69"/>
      <c r="G913" s="70"/>
      <c r="H913" s="70"/>
      <c r="I913" s="71"/>
    </row>
    <row r="914" ht="17.25" customHeight="1">
      <c r="A914" s="61"/>
      <c r="B914" s="63" t="b">
        <v>0</v>
      </c>
      <c r="C914" s="64">
        <v>907.0</v>
      </c>
      <c r="D914" s="66"/>
      <c r="E914" s="185"/>
      <c r="F914" s="69"/>
      <c r="G914" s="70"/>
      <c r="H914" s="70"/>
      <c r="I914" s="71"/>
    </row>
    <row r="915" ht="17.25" customHeight="1">
      <c r="A915" s="61"/>
      <c r="B915" s="63" t="b">
        <v>0</v>
      </c>
      <c r="C915" s="64">
        <v>908.0</v>
      </c>
      <c r="D915" s="66"/>
      <c r="E915" s="185"/>
      <c r="F915" s="69"/>
      <c r="G915" s="70"/>
      <c r="H915" s="70"/>
      <c r="I915" s="71"/>
    </row>
    <row r="916" ht="17.25" customHeight="1">
      <c r="A916" s="61"/>
      <c r="B916" s="63" t="b">
        <v>0</v>
      </c>
      <c r="C916" s="64">
        <v>909.0</v>
      </c>
      <c r="D916" s="66"/>
      <c r="E916" s="185"/>
      <c r="F916" s="69"/>
      <c r="G916" s="70"/>
      <c r="H916" s="70"/>
      <c r="I916" s="71"/>
    </row>
    <row r="917" ht="17.25" customHeight="1">
      <c r="A917" s="61"/>
      <c r="B917" s="63" t="b">
        <v>0</v>
      </c>
      <c r="C917" s="64">
        <v>910.0</v>
      </c>
      <c r="D917" s="66"/>
      <c r="E917" s="185"/>
      <c r="F917" s="69"/>
      <c r="G917" s="70"/>
      <c r="H917" s="70"/>
      <c r="I917" s="71"/>
    </row>
    <row r="918" ht="17.25" customHeight="1">
      <c r="A918" s="61"/>
      <c r="B918" s="63" t="b">
        <v>0</v>
      </c>
      <c r="C918" s="64">
        <v>911.0</v>
      </c>
      <c r="D918" s="66"/>
      <c r="E918" s="185"/>
      <c r="F918" s="69"/>
      <c r="G918" s="70"/>
      <c r="H918" s="70"/>
      <c r="I918" s="71"/>
    </row>
    <row r="919" ht="17.25" customHeight="1">
      <c r="A919" s="61"/>
      <c r="B919" s="63" t="b">
        <v>0</v>
      </c>
      <c r="C919" s="64">
        <v>912.0</v>
      </c>
      <c r="D919" s="66"/>
      <c r="E919" s="185"/>
      <c r="F919" s="69"/>
      <c r="G919" s="70"/>
      <c r="H919" s="70"/>
      <c r="I919" s="71"/>
    </row>
    <row r="920" ht="17.25" customHeight="1">
      <c r="A920" s="61"/>
      <c r="B920" s="63" t="b">
        <v>0</v>
      </c>
      <c r="C920" s="64">
        <v>913.0</v>
      </c>
      <c r="D920" s="66"/>
      <c r="E920" s="185"/>
      <c r="F920" s="69"/>
      <c r="G920" s="70"/>
      <c r="H920" s="70"/>
      <c r="I920" s="71"/>
    </row>
    <row r="921" ht="17.25" customHeight="1">
      <c r="A921" s="61"/>
      <c r="B921" s="63" t="b">
        <v>0</v>
      </c>
      <c r="C921" s="64">
        <v>914.0</v>
      </c>
      <c r="D921" s="66"/>
      <c r="E921" s="185"/>
      <c r="F921" s="69"/>
      <c r="G921" s="70"/>
      <c r="H921" s="70"/>
      <c r="I921" s="71"/>
    </row>
    <row r="922" ht="17.25" customHeight="1">
      <c r="A922" s="61"/>
      <c r="B922" s="63" t="b">
        <v>0</v>
      </c>
      <c r="C922" s="64">
        <v>915.0</v>
      </c>
      <c r="D922" s="66"/>
      <c r="E922" s="185"/>
      <c r="F922" s="69"/>
      <c r="G922" s="70"/>
      <c r="H922" s="70"/>
      <c r="I922" s="71"/>
    </row>
    <row r="923" ht="17.25" customHeight="1">
      <c r="A923" s="61"/>
      <c r="B923" s="63" t="b">
        <v>0</v>
      </c>
      <c r="C923" s="64">
        <v>916.0</v>
      </c>
      <c r="D923" s="66"/>
      <c r="E923" s="185"/>
      <c r="F923" s="69"/>
      <c r="G923" s="70"/>
      <c r="H923" s="70"/>
      <c r="I923" s="71"/>
    </row>
    <row r="924" ht="17.25" customHeight="1">
      <c r="A924" s="61"/>
      <c r="B924" s="63" t="b">
        <v>0</v>
      </c>
      <c r="C924" s="64">
        <v>917.0</v>
      </c>
      <c r="D924" s="66"/>
      <c r="E924" s="185"/>
      <c r="F924" s="69"/>
      <c r="G924" s="70"/>
      <c r="H924" s="70"/>
      <c r="I924" s="71"/>
    </row>
    <row r="925" ht="17.25" customHeight="1">
      <c r="A925" s="61"/>
      <c r="B925" s="63" t="b">
        <v>0</v>
      </c>
      <c r="C925" s="64">
        <v>918.0</v>
      </c>
      <c r="D925" s="66"/>
      <c r="E925" s="185"/>
      <c r="F925" s="69"/>
      <c r="G925" s="70"/>
      <c r="H925" s="70"/>
      <c r="I925" s="71"/>
    </row>
    <row r="926" ht="17.25" customHeight="1">
      <c r="A926" s="61"/>
      <c r="B926" s="63" t="b">
        <v>0</v>
      </c>
      <c r="C926" s="64">
        <v>919.0</v>
      </c>
      <c r="D926" s="66"/>
      <c r="E926" s="185"/>
      <c r="F926" s="69"/>
      <c r="G926" s="70"/>
      <c r="H926" s="70"/>
      <c r="I926" s="71"/>
    </row>
    <row r="927" ht="17.25" customHeight="1">
      <c r="A927" s="61"/>
      <c r="B927" s="63" t="b">
        <v>0</v>
      </c>
      <c r="C927" s="64">
        <v>920.0</v>
      </c>
      <c r="D927" s="66"/>
      <c r="E927" s="185"/>
      <c r="F927" s="69"/>
      <c r="G927" s="70"/>
      <c r="H927" s="70"/>
      <c r="I927" s="71"/>
    </row>
    <row r="928" ht="17.25" customHeight="1">
      <c r="A928" s="61"/>
      <c r="B928" s="63" t="b">
        <v>0</v>
      </c>
      <c r="C928" s="64">
        <v>921.0</v>
      </c>
      <c r="D928" s="66"/>
      <c r="E928" s="185"/>
      <c r="F928" s="69"/>
      <c r="G928" s="70"/>
      <c r="H928" s="70"/>
      <c r="I928" s="71"/>
    </row>
    <row r="929" ht="17.25" customHeight="1">
      <c r="A929" s="61"/>
      <c r="B929" s="63" t="b">
        <v>0</v>
      </c>
      <c r="C929" s="64">
        <v>922.0</v>
      </c>
      <c r="D929" s="66"/>
      <c r="E929" s="185"/>
      <c r="F929" s="69"/>
      <c r="G929" s="70"/>
      <c r="H929" s="70"/>
      <c r="I929" s="71"/>
    </row>
    <row r="930" ht="17.25" customHeight="1">
      <c r="A930" s="61"/>
      <c r="B930" s="63" t="b">
        <v>0</v>
      </c>
      <c r="C930" s="64">
        <v>923.0</v>
      </c>
      <c r="D930" s="66"/>
      <c r="E930" s="185"/>
      <c r="F930" s="69"/>
      <c r="G930" s="70"/>
      <c r="H930" s="70"/>
      <c r="I930" s="71"/>
    </row>
    <row r="931" ht="17.25" customHeight="1">
      <c r="A931" s="61"/>
      <c r="B931" s="63" t="b">
        <v>0</v>
      </c>
      <c r="C931" s="64">
        <v>924.0</v>
      </c>
      <c r="D931" s="66"/>
      <c r="E931" s="185"/>
      <c r="F931" s="69"/>
      <c r="G931" s="70"/>
      <c r="H931" s="70"/>
      <c r="I931" s="71"/>
    </row>
    <row r="932" ht="17.25" customHeight="1">
      <c r="A932" s="61"/>
      <c r="B932" s="63" t="b">
        <v>0</v>
      </c>
      <c r="C932" s="64">
        <v>925.0</v>
      </c>
      <c r="D932" s="66"/>
      <c r="E932" s="185"/>
      <c r="F932" s="69"/>
      <c r="G932" s="70"/>
      <c r="H932" s="70"/>
      <c r="I932" s="71"/>
    </row>
    <row r="933" ht="17.25" customHeight="1">
      <c r="A933" s="61"/>
      <c r="B933" s="63" t="b">
        <v>0</v>
      </c>
      <c r="C933" s="64">
        <v>926.0</v>
      </c>
      <c r="D933" s="66"/>
      <c r="E933" s="185"/>
      <c r="F933" s="69"/>
      <c r="G933" s="70"/>
      <c r="H933" s="70"/>
      <c r="I933" s="71"/>
    </row>
    <row r="934" ht="17.25" customHeight="1">
      <c r="A934" s="61"/>
      <c r="B934" s="63" t="b">
        <v>0</v>
      </c>
      <c r="C934" s="64">
        <v>927.0</v>
      </c>
      <c r="D934" s="66"/>
      <c r="E934" s="185"/>
      <c r="F934" s="69"/>
      <c r="G934" s="70"/>
      <c r="H934" s="70"/>
      <c r="I934" s="71"/>
    </row>
    <row r="935" ht="17.25" customHeight="1">
      <c r="A935" s="61"/>
      <c r="B935" s="63" t="b">
        <v>0</v>
      </c>
      <c r="C935" s="64">
        <v>928.0</v>
      </c>
      <c r="D935" s="66"/>
      <c r="E935" s="185"/>
      <c r="F935" s="69"/>
      <c r="G935" s="70"/>
      <c r="H935" s="70"/>
      <c r="I935" s="71"/>
    </row>
    <row r="936" ht="17.25" customHeight="1">
      <c r="A936" s="61"/>
      <c r="B936" s="63" t="b">
        <v>0</v>
      </c>
      <c r="C936" s="64">
        <v>929.0</v>
      </c>
      <c r="D936" s="66"/>
      <c r="E936" s="185"/>
      <c r="F936" s="69"/>
      <c r="G936" s="70"/>
      <c r="H936" s="70"/>
      <c r="I936" s="71"/>
    </row>
    <row r="937" ht="17.25" customHeight="1">
      <c r="A937" s="61"/>
      <c r="B937" s="63" t="b">
        <v>0</v>
      </c>
      <c r="C937" s="64">
        <v>930.0</v>
      </c>
      <c r="D937" s="66"/>
      <c r="E937" s="185"/>
      <c r="F937" s="69"/>
      <c r="G937" s="70"/>
      <c r="H937" s="70"/>
      <c r="I937" s="71"/>
    </row>
    <row r="938" ht="17.25" customHeight="1">
      <c r="A938" s="61"/>
      <c r="B938" s="63" t="b">
        <v>0</v>
      </c>
      <c r="C938" s="64">
        <v>931.0</v>
      </c>
      <c r="D938" s="66"/>
      <c r="E938" s="185"/>
      <c r="F938" s="69"/>
      <c r="G938" s="70"/>
      <c r="H938" s="70"/>
      <c r="I938" s="71"/>
    </row>
    <row r="939" ht="17.25" customHeight="1">
      <c r="A939" s="61"/>
      <c r="B939" s="63" t="b">
        <v>0</v>
      </c>
      <c r="C939" s="64">
        <v>932.0</v>
      </c>
      <c r="D939" s="66"/>
      <c r="E939" s="185"/>
      <c r="F939" s="69"/>
      <c r="G939" s="70"/>
      <c r="H939" s="70"/>
      <c r="I939" s="71"/>
    </row>
    <row r="940" ht="17.25" customHeight="1">
      <c r="A940" s="61"/>
      <c r="B940" s="63" t="b">
        <v>0</v>
      </c>
      <c r="C940" s="64">
        <v>933.0</v>
      </c>
      <c r="D940" s="66"/>
      <c r="E940" s="185"/>
      <c r="F940" s="69"/>
      <c r="G940" s="70"/>
      <c r="H940" s="70"/>
      <c r="I940" s="71"/>
    </row>
    <row r="941" ht="17.25" customHeight="1">
      <c r="A941" s="61"/>
      <c r="B941" s="63" t="b">
        <v>0</v>
      </c>
      <c r="C941" s="64">
        <v>934.0</v>
      </c>
      <c r="D941" s="66"/>
      <c r="E941" s="185"/>
      <c r="F941" s="69"/>
      <c r="G941" s="70"/>
      <c r="H941" s="70"/>
      <c r="I941" s="71"/>
    </row>
    <row r="942" ht="17.25" customHeight="1">
      <c r="A942" s="61"/>
      <c r="B942" s="63" t="b">
        <v>0</v>
      </c>
      <c r="C942" s="64">
        <v>935.0</v>
      </c>
      <c r="D942" s="66"/>
      <c r="E942" s="185"/>
      <c r="F942" s="69"/>
      <c r="G942" s="70"/>
      <c r="H942" s="70"/>
      <c r="I942" s="71"/>
    </row>
    <row r="943" ht="17.25" customHeight="1">
      <c r="A943" s="61"/>
      <c r="B943" s="63" t="b">
        <v>0</v>
      </c>
      <c r="C943" s="64">
        <v>936.0</v>
      </c>
      <c r="D943" s="66"/>
      <c r="E943" s="185"/>
      <c r="F943" s="69"/>
      <c r="G943" s="70"/>
      <c r="H943" s="70"/>
      <c r="I943" s="71"/>
    </row>
    <row r="944" ht="17.25" customHeight="1">
      <c r="A944" s="61"/>
      <c r="B944" s="63" t="b">
        <v>0</v>
      </c>
      <c r="C944" s="64">
        <v>937.0</v>
      </c>
      <c r="D944" s="66"/>
      <c r="E944" s="185"/>
      <c r="F944" s="69"/>
      <c r="G944" s="70"/>
      <c r="H944" s="70"/>
      <c r="I944" s="71"/>
    </row>
    <row r="945" ht="17.25" customHeight="1">
      <c r="A945" s="61"/>
      <c r="B945" s="63" t="b">
        <v>0</v>
      </c>
      <c r="C945" s="64">
        <v>938.0</v>
      </c>
      <c r="D945" s="66"/>
      <c r="E945" s="185"/>
      <c r="F945" s="69"/>
      <c r="G945" s="70"/>
      <c r="H945" s="70"/>
      <c r="I945" s="71"/>
    </row>
    <row r="946" ht="17.25" customHeight="1">
      <c r="A946" s="61"/>
      <c r="B946" s="63" t="b">
        <v>0</v>
      </c>
      <c r="C946" s="64">
        <v>939.0</v>
      </c>
      <c r="D946" s="66"/>
      <c r="E946" s="185"/>
      <c r="F946" s="69"/>
      <c r="G946" s="70"/>
      <c r="H946" s="70"/>
      <c r="I946" s="71"/>
    </row>
    <row r="947" ht="17.25" customHeight="1">
      <c r="A947" s="61"/>
      <c r="B947" s="63" t="b">
        <v>0</v>
      </c>
      <c r="C947" s="64">
        <v>940.0</v>
      </c>
      <c r="D947" s="66"/>
      <c r="E947" s="185"/>
      <c r="F947" s="69"/>
      <c r="G947" s="70"/>
      <c r="H947" s="70"/>
      <c r="I947" s="71"/>
    </row>
    <row r="948" ht="17.25" customHeight="1">
      <c r="A948" s="61"/>
      <c r="B948" s="63" t="b">
        <v>0</v>
      </c>
      <c r="C948" s="64">
        <v>941.0</v>
      </c>
      <c r="D948" s="66"/>
      <c r="E948" s="185"/>
      <c r="F948" s="69"/>
      <c r="G948" s="70"/>
      <c r="H948" s="70"/>
      <c r="I948" s="71"/>
    </row>
    <row r="949" ht="17.25" customHeight="1">
      <c r="A949" s="61"/>
      <c r="B949" s="63" t="b">
        <v>0</v>
      </c>
      <c r="C949" s="64">
        <v>942.0</v>
      </c>
      <c r="D949" s="66"/>
      <c r="E949" s="185"/>
      <c r="F949" s="69"/>
      <c r="G949" s="70"/>
      <c r="H949" s="70"/>
      <c r="I949" s="71"/>
    </row>
    <row r="950" ht="17.25" customHeight="1">
      <c r="A950" s="61"/>
      <c r="B950" s="63" t="b">
        <v>0</v>
      </c>
      <c r="C950" s="64">
        <v>943.0</v>
      </c>
      <c r="D950" s="66"/>
      <c r="E950" s="185"/>
      <c r="F950" s="69"/>
      <c r="G950" s="70"/>
      <c r="H950" s="70"/>
      <c r="I950" s="71"/>
    </row>
    <row r="951" ht="17.25" customHeight="1">
      <c r="A951" s="61"/>
      <c r="B951" s="63" t="b">
        <v>0</v>
      </c>
      <c r="C951" s="64">
        <v>944.0</v>
      </c>
      <c r="D951" s="66"/>
      <c r="E951" s="185"/>
      <c r="F951" s="69"/>
      <c r="G951" s="70"/>
      <c r="H951" s="70"/>
      <c r="I951" s="71"/>
    </row>
    <row r="952" ht="17.25" customHeight="1">
      <c r="A952" s="61"/>
      <c r="B952" s="63" t="b">
        <v>0</v>
      </c>
      <c r="C952" s="64">
        <v>945.0</v>
      </c>
      <c r="D952" s="66"/>
      <c r="E952" s="185"/>
      <c r="F952" s="69"/>
      <c r="G952" s="70"/>
      <c r="H952" s="70"/>
      <c r="I952" s="71"/>
    </row>
    <row r="953" ht="17.25" customHeight="1">
      <c r="A953" s="61"/>
      <c r="B953" s="63" t="b">
        <v>0</v>
      </c>
      <c r="C953" s="64">
        <v>946.0</v>
      </c>
      <c r="D953" s="66"/>
      <c r="E953" s="185"/>
      <c r="F953" s="69"/>
      <c r="G953" s="70"/>
      <c r="H953" s="70"/>
      <c r="I953" s="71"/>
    </row>
    <row r="954" ht="17.25" customHeight="1">
      <c r="A954" s="61"/>
      <c r="B954" s="63" t="b">
        <v>0</v>
      </c>
      <c r="C954" s="64">
        <v>947.0</v>
      </c>
      <c r="D954" s="66"/>
      <c r="E954" s="185"/>
      <c r="F954" s="69"/>
      <c r="G954" s="70"/>
      <c r="H954" s="70"/>
      <c r="I954" s="71"/>
    </row>
    <row r="955" ht="17.25" customHeight="1">
      <c r="A955" s="61"/>
      <c r="B955" s="63" t="b">
        <v>0</v>
      </c>
      <c r="C955" s="64">
        <v>948.0</v>
      </c>
      <c r="D955" s="66"/>
      <c r="E955" s="185"/>
      <c r="F955" s="69"/>
      <c r="G955" s="70"/>
      <c r="H955" s="70"/>
      <c r="I955" s="71"/>
    </row>
    <row r="956" ht="17.25" customHeight="1">
      <c r="A956" s="61"/>
      <c r="B956" s="63" t="b">
        <v>0</v>
      </c>
      <c r="C956" s="64">
        <v>949.0</v>
      </c>
      <c r="D956" s="66"/>
      <c r="E956" s="185"/>
      <c r="F956" s="69"/>
      <c r="G956" s="70"/>
      <c r="H956" s="70"/>
      <c r="I956" s="71"/>
    </row>
    <row r="957" ht="17.25" customHeight="1">
      <c r="A957" s="61"/>
      <c r="B957" s="63" t="b">
        <v>0</v>
      </c>
      <c r="C957" s="64">
        <v>950.0</v>
      </c>
      <c r="D957" s="66"/>
      <c r="E957" s="185"/>
      <c r="F957" s="69"/>
      <c r="G957" s="70"/>
      <c r="H957" s="70"/>
      <c r="I957" s="71"/>
    </row>
    <row r="958" ht="17.25" customHeight="1">
      <c r="A958" s="61"/>
      <c r="B958" s="63" t="b">
        <v>0</v>
      </c>
      <c r="C958" s="64">
        <v>951.0</v>
      </c>
      <c r="D958" s="66"/>
      <c r="E958" s="185"/>
      <c r="F958" s="69"/>
      <c r="G958" s="70"/>
      <c r="H958" s="70"/>
      <c r="I958" s="71"/>
    </row>
    <row r="959" ht="17.25" customHeight="1">
      <c r="A959" s="61"/>
      <c r="B959" s="63" t="b">
        <v>0</v>
      </c>
      <c r="C959" s="64">
        <v>952.0</v>
      </c>
      <c r="D959" s="66"/>
      <c r="E959" s="185"/>
      <c r="F959" s="69"/>
      <c r="G959" s="70"/>
      <c r="H959" s="70"/>
      <c r="I959" s="71"/>
    </row>
    <row r="960" ht="17.25" customHeight="1">
      <c r="A960" s="61"/>
      <c r="B960" s="63" t="b">
        <v>0</v>
      </c>
      <c r="C960" s="64">
        <v>953.0</v>
      </c>
      <c r="D960" s="66"/>
      <c r="E960" s="185"/>
      <c r="F960" s="69"/>
      <c r="G960" s="70"/>
      <c r="H960" s="70"/>
      <c r="I960" s="71"/>
    </row>
    <row r="961" ht="17.25" customHeight="1">
      <c r="A961" s="61"/>
      <c r="B961" s="63" t="b">
        <v>0</v>
      </c>
      <c r="C961" s="64">
        <v>954.0</v>
      </c>
      <c r="D961" s="66"/>
      <c r="E961" s="185"/>
      <c r="F961" s="69"/>
      <c r="G961" s="70"/>
      <c r="H961" s="70"/>
      <c r="I961" s="71"/>
    </row>
    <row r="962" ht="17.25" customHeight="1">
      <c r="A962" s="61"/>
      <c r="B962" s="63" t="b">
        <v>0</v>
      </c>
      <c r="C962" s="64">
        <v>955.0</v>
      </c>
      <c r="D962" s="66"/>
      <c r="E962" s="185"/>
      <c r="F962" s="69"/>
      <c r="G962" s="70"/>
      <c r="H962" s="70"/>
      <c r="I962" s="71"/>
    </row>
    <row r="963" ht="17.25" customHeight="1">
      <c r="A963" s="61"/>
      <c r="B963" s="63" t="b">
        <v>0</v>
      </c>
      <c r="C963" s="64">
        <v>956.0</v>
      </c>
      <c r="D963" s="66"/>
      <c r="E963" s="185"/>
      <c r="F963" s="69"/>
      <c r="G963" s="70"/>
      <c r="H963" s="70"/>
      <c r="I963" s="71"/>
    </row>
    <row r="964" ht="17.25" customHeight="1">
      <c r="A964" s="61"/>
      <c r="B964" s="63" t="b">
        <v>0</v>
      </c>
      <c r="C964" s="64">
        <v>957.0</v>
      </c>
      <c r="D964" s="66"/>
      <c r="E964" s="185"/>
      <c r="F964" s="69"/>
      <c r="G964" s="70"/>
      <c r="H964" s="70"/>
      <c r="I964" s="71"/>
    </row>
    <row r="965" ht="17.25" customHeight="1">
      <c r="A965" s="61"/>
      <c r="B965" s="63" t="b">
        <v>0</v>
      </c>
      <c r="C965" s="64">
        <v>958.0</v>
      </c>
      <c r="D965" s="66"/>
      <c r="E965" s="185"/>
      <c r="F965" s="69"/>
      <c r="G965" s="70"/>
      <c r="H965" s="70"/>
      <c r="I965" s="71"/>
    </row>
    <row r="966" ht="17.25" customHeight="1">
      <c r="A966" s="61"/>
      <c r="B966" s="63" t="b">
        <v>0</v>
      </c>
      <c r="C966" s="64">
        <v>959.0</v>
      </c>
      <c r="D966" s="66"/>
      <c r="E966" s="185"/>
      <c r="F966" s="69"/>
      <c r="G966" s="70"/>
      <c r="H966" s="70"/>
      <c r="I966" s="71"/>
    </row>
    <row r="967" ht="17.25" customHeight="1">
      <c r="A967" s="61"/>
      <c r="B967" s="63" t="b">
        <v>0</v>
      </c>
      <c r="C967" s="64">
        <v>960.0</v>
      </c>
      <c r="D967" s="66"/>
      <c r="E967" s="185"/>
      <c r="F967" s="69"/>
      <c r="G967" s="70"/>
      <c r="H967" s="70"/>
      <c r="I967" s="71"/>
    </row>
    <row r="968" ht="17.25" customHeight="1">
      <c r="A968" s="61"/>
      <c r="B968" s="63" t="b">
        <v>0</v>
      </c>
      <c r="C968" s="64">
        <v>961.0</v>
      </c>
      <c r="D968" s="66"/>
      <c r="E968" s="185"/>
      <c r="F968" s="69"/>
      <c r="G968" s="70"/>
      <c r="H968" s="70"/>
      <c r="I968" s="71"/>
    </row>
    <row r="969" ht="17.25" customHeight="1">
      <c r="A969" s="61"/>
      <c r="B969" s="63" t="b">
        <v>0</v>
      </c>
      <c r="C969" s="64">
        <v>962.0</v>
      </c>
      <c r="D969" s="66"/>
      <c r="E969" s="185"/>
      <c r="F969" s="69"/>
      <c r="G969" s="70"/>
      <c r="H969" s="70"/>
      <c r="I969" s="71"/>
    </row>
    <row r="970" ht="17.25" customHeight="1">
      <c r="A970" s="61"/>
      <c r="B970" s="63" t="b">
        <v>0</v>
      </c>
      <c r="C970" s="64">
        <v>963.0</v>
      </c>
      <c r="D970" s="66"/>
      <c r="E970" s="185"/>
      <c r="F970" s="69"/>
      <c r="G970" s="70"/>
      <c r="H970" s="70"/>
      <c r="I970" s="71"/>
    </row>
    <row r="971" ht="17.25" customHeight="1">
      <c r="A971" s="61"/>
      <c r="B971" s="63" t="b">
        <v>0</v>
      </c>
      <c r="C971" s="64">
        <v>964.0</v>
      </c>
      <c r="D971" s="66"/>
      <c r="E971" s="185"/>
      <c r="F971" s="69"/>
      <c r="G971" s="70"/>
      <c r="H971" s="70"/>
      <c r="I971" s="71"/>
    </row>
    <row r="972" ht="17.25" customHeight="1">
      <c r="A972" s="61"/>
      <c r="B972" s="63" t="b">
        <v>0</v>
      </c>
      <c r="C972" s="64">
        <v>965.0</v>
      </c>
      <c r="D972" s="66"/>
      <c r="E972" s="185"/>
      <c r="F972" s="69"/>
      <c r="G972" s="70"/>
      <c r="H972" s="70"/>
      <c r="I972" s="71"/>
    </row>
    <row r="973" ht="17.25" customHeight="1">
      <c r="A973" s="61"/>
      <c r="B973" s="63" t="b">
        <v>0</v>
      </c>
      <c r="C973" s="64">
        <v>966.0</v>
      </c>
      <c r="D973" s="66"/>
      <c r="E973" s="185"/>
      <c r="F973" s="69"/>
      <c r="G973" s="70"/>
      <c r="H973" s="70"/>
      <c r="I973" s="71"/>
    </row>
    <row r="974" ht="17.25" customHeight="1">
      <c r="A974" s="61"/>
      <c r="B974" s="63" t="b">
        <v>0</v>
      </c>
      <c r="C974" s="64">
        <v>967.0</v>
      </c>
      <c r="D974" s="66"/>
      <c r="E974" s="185"/>
      <c r="F974" s="69"/>
      <c r="G974" s="70"/>
      <c r="H974" s="70"/>
      <c r="I974" s="71"/>
    </row>
    <row r="975" ht="17.25" customHeight="1">
      <c r="A975" s="61"/>
      <c r="B975" s="63" t="b">
        <v>0</v>
      </c>
      <c r="C975" s="64">
        <v>968.0</v>
      </c>
      <c r="D975" s="66"/>
      <c r="E975" s="185"/>
      <c r="F975" s="69"/>
      <c r="G975" s="70"/>
      <c r="H975" s="70"/>
      <c r="I975" s="71"/>
    </row>
    <row r="976" ht="17.25" customHeight="1">
      <c r="A976" s="61"/>
      <c r="B976" s="63" t="b">
        <v>0</v>
      </c>
      <c r="C976" s="64">
        <v>969.0</v>
      </c>
      <c r="D976" s="66"/>
      <c r="E976" s="185"/>
      <c r="F976" s="69"/>
      <c r="G976" s="70"/>
      <c r="H976" s="70"/>
      <c r="I976" s="71"/>
    </row>
    <row r="977" ht="17.25" customHeight="1">
      <c r="A977" s="61"/>
      <c r="B977" s="63" t="b">
        <v>0</v>
      </c>
      <c r="C977" s="64">
        <v>970.0</v>
      </c>
      <c r="D977" s="66"/>
      <c r="E977" s="185"/>
      <c r="F977" s="69"/>
      <c r="G977" s="70"/>
      <c r="H977" s="70"/>
      <c r="I977" s="71"/>
    </row>
    <row r="978" ht="17.25" customHeight="1">
      <c r="A978" s="61"/>
      <c r="B978" s="63" t="b">
        <v>0</v>
      </c>
      <c r="C978" s="64">
        <v>971.0</v>
      </c>
      <c r="D978" s="66"/>
      <c r="E978" s="185"/>
      <c r="F978" s="69"/>
      <c r="G978" s="70"/>
      <c r="H978" s="70"/>
      <c r="I978" s="71"/>
    </row>
    <row r="979" ht="17.25" customHeight="1">
      <c r="A979" s="61"/>
      <c r="B979" s="63" t="b">
        <v>0</v>
      </c>
      <c r="C979" s="64">
        <v>972.0</v>
      </c>
      <c r="D979" s="66"/>
      <c r="E979" s="185"/>
      <c r="F979" s="69"/>
      <c r="G979" s="70"/>
      <c r="H979" s="70"/>
      <c r="I979" s="71"/>
    </row>
    <row r="980" ht="17.25" customHeight="1">
      <c r="A980" s="61"/>
      <c r="B980" s="63" t="b">
        <v>0</v>
      </c>
      <c r="C980" s="64">
        <v>973.0</v>
      </c>
      <c r="D980" s="66"/>
      <c r="E980" s="185"/>
      <c r="F980" s="69"/>
      <c r="G980" s="70"/>
      <c r="H980" s="70"/>
      <c r="I980" s="71"/>
    </row>
    <row r="981" ht="17.25" customHeight="1">
      <c r="A981" s="61"/>
      <c r="B981" s="63" t="b">
        <v>0</v>
      </c>
      <c r="C981" s="64">
        <v>974.0</v>
      </c>
      <c r="D981" s="66"/>
      <c r="E981" s="185"/>
      <c r="F981" s="69"/>
      <c r="G981" s="70"/>
      <c r="H981" s="70"/>
      <c r="I981" s="71"/>
    </row>
    <row r="982" ht="17.25" customHeight="1">
      <c r="A982" s="61"/>
      <c r="B982" s="63" t="b">
        <v>0</v>
      </c>
      <c r="C982" s="64">
        <v>975.0</v>
      </c>
      <c r="D982" s="66"/>
      <c r="E982" s="185"/>
      <c r="F982" s="69"/>
      <c r="G982" s="70"/>
      <c r="H982" s="70"/>
      <c r="I982" s="71"/>
    </row>
    <row r="983" ht="17.25" customHeight="1">
      <c r="A983" s="61"/>
      <c r="B983" s="63" t="b">
        <v>0</v>
      </c>
      <c r="C983" s="64">
        <v>976.0</v>
      </c>
      <c r="D983" s="66"/>
      <c r="E983" s="185"/>
      <c r="F983" s="69"/>
      <c r="G983" s="70"/>
      <c r="H983" s="70"/>
      <c r="I983" s="71"/>
    </row>
    <row r="984" ht="17.25" customHeight="1">
      <c r="A984" s="61"/>
      <c r="B984" s="63" t="b">
        <v>0</v>
      </c>
      <c r="C984" s="64">
        <v>977.0</v>
      </c>
      <c r="D984" s="66"/>
      <c r="E984" s="185"/>
      <c r="F984" s="69"/>
      <c r="G984" s="70"/>
      <c r="H984" s="70"/>
      <c r="I984" s="71"/>
    </row>
    <row r="985" ht="17.25" customHeight="1">
      <c r="A985" s="61"/>
      <c r="B985" s="63" t="b">
        <v>0</v>
      </c>
      <c r="C985" s="64">
        <v>978.0</v>
      </c>
      <c r="D985" s="66"/>
      <c r="E985" s="185"/>
      <c r="F985" s="69"/>
      <c r="G985" s="70"/>
      <c r="H985" s="70"/>
      <c r="I985" s="71"/>
    </row>
    <row r="986" ht="17.25" customHeight="1">
      <c r="A986" s="61"/>
      <c r="B986" s="63" t="b">
        <v>0</v>
      </c>
      <c r="C986" s="64">
        <v>979.0</v>
      </c>
      <c r="D986" s="66"/>
      <c r="E986" s="185"/>
      <c r="F986" s="69"/>
      <c r="G986" s="70"/>
      <c r="H986" s="70"/>
      <c r="I986" s="71"/>
    </row>
    <row r="987" ht="17.25" customHeight="1">
      <c r="A987" s="61"/>
      <c r="B987" s="63" t="b">
        <v>0</v>
      </c>
      <c r="C987" s="64">
        <v>980.0</v>
      </c>
      <c r="D987" s="66"/>
      <c r="E987" s="185"/>
      <c r="F987" s="69"/>
      <c r="G987" s="70"/>
      <c r="H987" s="70"/>
      <c r="I987" s="71"/>
    </row>
    <row r="988" ht="17.25" customHeight="1">
      <c r="A988" s="61"/>
      <c r="B988" s="63" t="b">
        <v>0</v>
      </c>
      <c r="C988" s="64">
        <v>981.0</v>
      </c>
      <c r="D988" s="66"/>
      <c r="E988" s="185"/>
      <c r="F988" s="69"/>
      <c r="G988" s="70"/>
      <c r="H988" s="70"/>
      <c r="I988" s="71"/>
    </row>
    <row r="989" ht="17.25" customHeight="1">
      <c r="A989" s="61"/>
      <c r="B989" s="63" t="b">
        <v>0</v>
      </c>
      <c r="C989" s="64">
        <v>982.0</v>
      </c>
      <c r="D989" s="66"/>
      <c r="E989" s="185"/>
      <c r="F989" s="69"/>
      <c r="G989" s="70"/>
      <c r="H989" s="70"/>
      <c r="I989" s="71"/>
    </row>
    <row r="990" ht="17.25" customHeight="1">
      <c r="A990" s="61"/>
      <c r="B990" s="63" t="b">
        <v>0</v>
      </c>
      <c r="C990" s="64">
        <v>983.0</v>
      </c>
      <c r="D990" s="66"/>
      <c r="E990" s="185"/>
      <c r="F990" s="69"/>
      <c r="G990" s="70"/>
      <c r="H990" s="70"/>
      <c r="I990" s="71"/>
    </row>
    <row r="991" ht="17.25" customHeight="1">
      <c r="A991" s="61"/>
      <c r="B991" s="63" t="b">
        <v>0</v>
      </c>
      <c r="C991" s="64">
        <v>984.0</v>
      </c>
      <c r="D991" s="66"/>
      <c r="E991" s="185"/>
      <c r="F991" s="69"/>
      <c r="G991" s="70"/>
      <c r="H991" s="70"/>
      <c r="I991" s="71"/>
    </row>
    <row r="992" ht="17.25" customHeight="1">
      <c r="A992" s="61"/>
      <c r="B992" s="63" t="b">
        <v>0</v>
      </c>
      <c r="C992" s="64">
        <v>985.0</v>
      </c>
      <c r="D992" s="66"/>
      <c r="E992" s="67"/>
      <c r="F992" s="69"/>
      <c r="G992" s="70"/>
      <c r="H992" s="70"/>
      <c r="I992" s="71"/>
    </row>
    <row r="993" ht="17.25" customHeight="1">
      <c r="A993" s="61"/>
      <c r="B993" s="63" t="b">
        <v>0</v>
      </c>
      <c r="C993" s="64">
        <v>986.0</v>
      </c>
      <c r="D993" s="66"/>
      <c r="E993" s="185"/>
      <c r="F993" s="69"/>
      <c r="G993" s="70"/>
      <c r="H993" s="70"/>
      <c r="I993" s="71"/>
    </row>
    <row r="994" ht="17.25" customHeight="1">
      <c r="A994" s="61"/>
      <c r="B994" s="63" t="b">
        <v>0</v>
      </c>
      <c r="C994" s="64">
        <v>987.0</v>
      </c>
      <c r="D994" s="66"/>
      <c r="E994" s="185"/>
      <c r="F994" s="69"/>
      <c r="G994" s="70"/>
      <c r="H994" s="70"/>
      <c r="I994" s="71"/>
    </row>
    <row r="995" ht="17.25" customHeight="1">
      <c r="A995" s="61"/>
      <c r="B995" s="63" t="b">
        <v>0</v>
      </c>
      <c r="C995" s="64">
        <v>988.0</v>
      </c>
      <c r="D995" s="66"/>
      <c r="E995" s="185"/>
      <c r="F995" s="69"/>
      <c r="G995" s="70"/>
      <c r="H995" s="70"/>
      <c r="I995" s="71"/>
    </row>
    <row r="996" ht="17.25" customHeight="1">
      <c r="A996" s="61"/>
      <c r="B996" s="63" t="b">
        <v>0</v>
      </c>
      <c r="C996" s="64">
        <v>989.0</v>
      </c>
      <c r="D996" s="66"/>
      <c r="E996" s="185"/>
      <c r="F996" s="69"/>
      <c r="G996" s="70"/>
      <c r="H996" s="70"/>
      <c r="I996" s="71"/>
    </row>
    <row r="997" ht="17.25" customHeight="1">
      <c r="A997" s="61"/>
      <c r="B997" s="63" t="b">
        <v>0</v>
      </c>
      <c r="C997" s="64">
        <v>990.0</v>
      </c>
      <c r="D997" s="66"/>
      <c r="E997" s="185"/>
      <c r="F997" s="69"/>
      <c r="G997" s="70"/>
      <c r="H997" s="70"/>
      <c r="I997" s="71"/>
    </row>
    <row r="998" ht="17.25" customHeight="1">
      <c r="A998" s="61"/>
      <c r="B998" s="63" t="b">
        <v>0</v>
      </c>
      <c r="C998" s="64">
        <v>991.0</v>
      </c>
      <c r="D998" s="66"/>
      <c r="E998" s="185"/>
      <c r="F998" s="69"/>
      <c r="G998" s="70"/>
      <c r="H998" s="70"/>
      <c r="I998" s="71"/>
    </row>
    <row r="999" ht="17.25" customHeight="1">
      <c r="A999" s="61"/>
      <c r="B999" s="63" t="b">
        <v>0</v>
      </c>
      <c r="C999" s="64">
        <v>992.0</v>
      </c>
      <c r="D999" s="66"/>
      <c r="E999" s="185"/>
      <c r="F999" s="69"/>
      <c r="G999" s="70"/>
      <c r="H999" s="70"/>
      <c r="I999" s="71"/>
    </row>
    <row r="1000" ht="17.25" customHeight="1">
      <c r="A1000" s="61"/>
      <c r="B1000" s="63" t="b">
        <v>0</v>
      </c>
      <c r="C1000" s="64">
        <v>993.0</v>
      </c>
      <c r="D1000" s="66"/>
      <c r="E1000" s="185"/>
      <c r="F1000" s="69"/>
      <c r="G1000" s="70"/>
      <c r="H1000" s="70"/>
      <c r="I1000" s="71"/>
    </row>
    <row r="1001" ht="17.25" customHeight="1">
      <c r="A1001" s="61"/>
      <c r="B1001" s="63" t="b">
        <v>0</v>
      </c>
      <c r="C1001" s="64">
        <v>994.0</v>
      </c>
      <c r="D1001" s="66"/>
      <c r="E1001" s="185"/>
      <c r="F1001" s="69"/>
      <c r="G1001" s="70"/>
      <c r="H1001" s="70"/>
      <c r="I1001" s="71"/>
    </row>
    <row r="1002" ht="17.25" customHeight="1">
      <c r="A1002" s="61"/>
      <c r="B1002" s="63" t="b">
        <v>0</v>
      </c>
      <c r="C1002" s="64">
        <v>995.0</v>
      </c>
      <c r="D1002" s="66"/>
      <c r="E1002" s="185"/>
      <c r="F1002" s="69"/>
      <c r="G1002" s="70"/>
      <c r="H1002" s="70"/>
      <c r="I1002" s="71"/>
    </row>
    <row r="1003" ht="17.25" customHeight="1">
      <c r="A1003" s="61"/>
      <c r="B1003" s="63" t="b">
        <v>0</v>
      </c>
      <c r="C1003" s="64">
        <v>996.0</v>
      </c>
      <c r="D1003" s="66"/>
      <c r="E1003" s="185"/>
      <c r="F1003" s="69"/>
      <c r="G1003" s="70"/>
      <c r="H1003" s="70"/>
      <c r="I1003" s="71"/>
    </row>
    <row r="1004" ht="17.25" customHeight="1">
      <c r="A1004" s="61"/>
      <c r="B1004" s="63" t="b">
        <v>0</v>
      </c>
      <c r="C1004" s="64">
        <v>997.0</v>
      </c>
      <c r="D1004" s="66"/>
      <c r="E1004" s="185"/>
      <c r="F1004" s="69"/>
      <c r="G1004" s="70"/>
      <c r="H1004" s="70"/>
      <c r="I1004" s="71"/>
    </row>
    <row r="1005" ht="17.25" customHeight="1">
      <c r="A1005" s="61"/>
      <c r="B1005" s="63" t="b">
        <v>0</v>
      </c>
      <c r="C1005" s="64">
        <v>998.0</v>
      </c>
      <c r="D1005" s="66"/>
      <c r="E1005" s="185"/>
      <c r="F1005" s="69"/>
      <c r="G1005" s="70"/>
      <c r="H1005" s="70"/>
      <c r="I1005" s="71"/>
    </row>
    <row r="1006" ht="17.25" customHeight="1">
      <c r="A1006" s="61"/>
      <c r="B1006" s="63" t="b">
        <v>0</v>
      </c>
      <c r="C1006" s="64">
        <v>999.0</v>
      </c>
      <c r="D1006" s="66"/>
      <c r="E1006" s="185"/>
      <c r="F1006" s="69"/>
      <c r="G1006" s="70"/>
      <c r="H1006" s="70"/>
      <c r="I1006" s="71"/>
    </row>
    <row r="1007" ht="17.25" customHeight="1">
      <c r="A1007" s="61"/>
      <c r="B1007" s="63" t="b">
        <v>0</v>
      </c>
      <c r="C1007" s="64">
        <v>1000.0</v>
      </c>
      <c r="D1007" s="66"/>
      <c r="E1007" s="185"/>
      <c r="F1007" s="69"/>
      <c r="G1007" s="70"/>
      <c r="H1007" s="70"/>
      <c r="I1007" s="71"/>
    </row>
    <row r="1008" ht="17.25" customHeight="1">
      <c r="A1008" s="61"/>
      <c r="B1008" s="63" t="b">
        <v>0</v>
      </c>
      <c r="C1008" s="64"/>
      <c r="D1008" s="66"/>
      <c r="E1008" s="185"/>
      <c r="F1008" s="69"/>
      <c r="G1008" s="70"/>
      <c r="H1008" s="70"/>
      <c r="I1008" s="71"/>
    </row>
    <row r="1009" ht="17.25" customHeight="1">
      <c r="A1009" s="61"/>
      <c r="B1009" s="63" t="b">
        <v>0</v>
      </c>
      <c r="C1009" s="64"/>
      <c r="D1009" s="66"/>
      <c r="E1009" s="185"/>
      <c r="F1009" s="69"/>
      <c r="G1009" s="70"/>
      <c r="H1009" s="70"/>
      <c r="I1009" s="71"/>
    </row>
    <row r="1010" ht="16.5" customHeight="1">
      <c r="A1010" s="3"/>
      <c r="B1010" s="63" t="b">
        <v>0</v>
      </c>
      <c r="C1010" s="64"/>
      <c r="D1010" s="66"/>
      <c r="E1010" s="185"/>
      <c r="F1010" s="69"/>
      <c r="G1010" s="70"/>
      <c r="H1010" s="70"/>
      <c r="I1010" s="3"/>
    </row>
    <row r="1011" ht="16.5" customHeight="1">
      <c r="A1011" s="187"/>
      <c r="B1011" s="63" t="b">
        <v>0</v>
      </c>
      <c r="C1011" s="64"/>
      <c r="D1011" s="66"/>
      <c r="E1011" s="185"/>
      <c r="F1011" s="69"/>
      <c r="G1011" s="70"/>
      <c r="H1011" s="70"/>
      <c r="I1011" s="187"/>
    </row>
    <row r="1012" ht="16.5" customHeight="1">
      <c r="A1012" s="3"/>
      <c r="B1012" s="63" t="b">
        <v>0</v>
      </c>
      <c r="C1012" s="64"/>
      <c r="D1012" s="66"/>
      <c r="E1012" s="185"/>
      <c r="F1012" s="69"/>
      <c r="G1012" s="70"/>
      <c r="H1012" s="70"/>
      <c r="I1012" s="3"/>
    </row>
    <row r="1013" ht="16.5" customHeight="1">
      <c r="A1013" s="3"/>
      <c r="B1013" s="63" t="b">
        <v>0</v>
      </c>
      <c r="C1013" s="64"/>
      <c r="D1013" s="66"/>
      <c r="E1013" s="185"/>
      <c r="F1013" s="69"/>
      <c r="G1013" s="70"/>
      <c r="H1013" s="70"/>
      <c r="I1013" s="3"/>
    </row>
    <row r="1014" ht="16.5" customHeight="1">
      <c r="A1014" s="3"/>
      <c r="B1014" s="63" t="b">
        <v>0</v>
      </c>
      <c r="C1014" s="64"/>
      <c r="D1014" s="66"/>
      <c r="E1014" s="185"/>
      <c r="F1014" s="69"/>
      <c r="G1014" s="70"/>
      <c r="H1014" s="70"/>
      <c r="I1014" s="3"/>
    </row>
    <row r="1015" ht="16.5" customHeight="1">
      <c r="A1015" s="3"/>
      <c r="B1015" s="63" t="b">
        <v>0</v>
      </c>
      <c r="C1015" s="64"/>
      <c r="D1015" s="66"/>
      <c r="E1015" s="185"/>
      <c r="F1015" s="69"/>
      <c r="G1015" s="70"/>
      <c r="H1015" s="70"/>
      <c r="I1015" s="3"/>
    </row>
    <row r="1016" ht="16.5" customHeight="1">
      <c r="A1016" s="3"/>
      <c r="B1016" s="63" t="b">
        <v>0</v>
      </c>
      <c r="C1016" s="64"/>
      <c r="D1016" s="66"/>
      <c r="E1016" s="185"/>
      <c r="F1016" s="69"/>
      <c r="G1016" s="70"/>
      <c r="H1016" s="70"/>
      <c r="I1016" s="3"/>
    </row>
    <row r="1017" ht="16.5" customHeight="1">
      <c r="A1017" s="3"/>
      <c r="B1017" s="63" t="b">
        <v>0</v>
      </c>
      <c r="C1017" s="64"/>
      <c r="D1017" s="66"/>
      <c r="E1017" s="185"/>
      <c r="F1017" s="69"/>
      <c r="G1017" s="70"/>
      <c r="H1017" s="70"/>
      <c r="I1017" s="3"/>
    </row>
    <row r="1018" ht="16.5" customHeight="1">
      <c r="A1018" s="3"/>
      <c r="B1018" s="63" t="b">
        <v>0</v>
      </c>
      <c r="C1018" s="64"/>
      <c r="D1018" s="66"/>
      <c r="E1018" s="185"/>
      <c r="F1018" s="69"/>
      <c r="G1018" s="70"/>
      <c r="H1018" s="70"/>
      <c r="I1018" s="3"/>
    </row>
    <row r="1019" ht="16.5" customHeight="1">
      <c r="A1019" s="3"/>
      <c r="B1019" s="63" t="b">
        <v>0</v>
      </c>
      <c r="C1019" s="64"/>
      <c r="D1019" s="66"/>
      <c r="E1019" s="185"/>
      <c r="F1019" s="69"/>
      <c r="G1019" s="70"/>
      <c r="H1019" s="70"/>
      <c r="I1019" s="3"/>
    </row>
    <row r="1020" ht="16.5" customHeight="1">
      <c r="A1020" s="3"/>
      <c r="B1020" s="63" t="b">
        <v>0</v>
      </c>
      <c r="C1020" s="64"/>
      <c r="D1020" s="66"/>
      <c r="E1020" s="185"/>
      <c r="F1020" s="69"/>
      <c r="G1020" s="70"/>
      <c r="H1020" s="70"/>
      <c r="I1020" s="3"/>
    </row>
    <row r="1021" ht="16.5" customHeight="1">
      <c r="A1021" s="3"/>
      <c r="B1021" s="63" t="b">
        <v>0</v>
      </c>
      <c r="C1021" s="64"/>
      <c r="D1021" s="66"/>
      <c r="E1021" s="185"/>
      <c r="F1021" s="69"/>
      <c r="G1021" s="70"/>
      <c r="H1021" s="70"/>
      <c r="I1021" s="3"/>
    </row>
    <row r="1022" ht="16.5" customHeight="1">
      <c r="A1022" s="3"/>
      <c r="B1022" s="63" t="b">
        <v>0</v>
      </c>
      <c r="C1022" s="64"/>
      <c r="D1022" s="66"/>
      <c r="E1022" s="185"/>
      <c r="F1022" s="69"/>
      <c r="G1022" s="70"/>
      <c r="H1022" s="70"/>
      <c r="I1022" s="3"/>
    </row>
    <row r="1023" ht="16.5" customHeight="1">
      <c r="A1023" s="3"/>
      <c r="B1023" s="63" t="b">
        <v>0</v>
      </c>
      <c r="C1023" s="64"/>
      <c r="D1023" s="66"/>
      <c r="E1023" s="185"/>
      <c r="F1023" s="69"/>
      <c r="G1023" s="70"/>
      <c r="H1023" s="70"/>
      <c r="I1023" s="3"/>
    </row>
    <row r="1024" ht="16.5" customHeight="1">
      <c r="A1024" s="3"/>
      <c r="B1024" s="63" t="b">
        <v>0</v>
      </c>
      <c r="C1024" s="64"/>
      <c r="D1024" s="66"/>
      <c r="E1024" s="185"/>
      <c r="F1024" s="69"/>
      <c r="G1024" s="70"/>
      <c r="H1024" s="70"/>
      <c r="I1024" s="3"/>
    </row>
    <row r="1025" ht="16.5" customHeight="1">
      <c r="A1025" s="3"/>
      <c r="B1025" s="63" t="b">
        <v>0</v>
      </c>
      <c r="C1025" s="64"/>
      <c r="D1025" s="66"/>
      <c r="E1025" s="185"/>
      <c r="F1025" s="69"/>
      <c r="G1025" s="70"/>
      <c r="H1025" s="70"/>
      <c r="I1025" s="3"/>
    </row>
    <row r="1026" ht="16.5" customHeight="1">
      <c r="A1026" s="3"/>
      <c r="B1026" s="63" t="b">
        <v>0</v>
      </c>
      <c r="C1026" s="64"/>
      <c r="D1026" s="66"/>
      <c r="E1026" s="185"/>
      <c r="F1026" s="69"/>
      <c r="G1026" s="70"/>
      <c r="H1026" s="70"/>
      <c r="I1026" s="3"/>
    </row>
    <row r="1027" ht="16.5" customHeight="1">
      <c r="A1027" s="3"/>
      <c r="B1027" s="63" t="b">
        <v>0</v>
      </c>
      <c r="C1027" s="64"/>
      <c r="D1027" s="66"/>
      <c r="E1027" s="185"/>
      <c r="F1027" s="69"/>
      <c r="G1027" s="70"/>
      <c r="H1027" s="70"/>
      <c r="I1027" s="3"/>
    </row>
    <row r="1028" ht="16.5" customHeight="1">
      <c r="A1028" s="3"/>
      <c r="B1028" s="63" t="b">
        <v>0</v>
      </c>
      <c r="C1028" s="64"/>
      <c r="D1028" s="66"/>
      <c r="E1028" s="185"/>
      <c r="F1028" s="69"/>
      <c r="G1028" s="70"/>
      <c r="H1028" s="70"/>
      <c r="I1028" s="3"/>
    </row>
    <row r="1029" ht="16.5" customHeight="1">
      <c r="A1029" s="3"/>
      <c r="B1029" s="63" t="b">
        <v>0</v>
      </c>
      <c r="C1029" s="64"/>
      <c r="D1029" s="66"/>
      <c r="E1029" s="185"/>
      <c r="F1029" s="69"/>
      <c r="G1029" s="70"/>
      <c r="H1029" s="70"/>
      <c r="I1029" s="3"/>
    </row>
    <row r="1030" ht="16.5" customHeight="1">
      <c r="A1030" s="3"/>
      <c r="B1030" s="63" t="b">
        <v>0</v>
      </c>
      <c r="C1030" s="64"/>
      <c r="D1030" s="66"/>
      <c r="E1030" s="185"/>
      <c r="F1030" s="69"/>
      <c r="G1030" s="70"/>
      <c r="H1030" s="70"/>
      <c r="I1030" s="3"/>
    </row>
    <row r="1031" ht="16.5" customHeight="1">
      <c r="A1031" s="3"/>
      <c r="B1031" s="63" t="b">
        <v>0</v>
      </c>
      <c r="C1031" s="64"/>
      <c r="D1031" s="66"/>
      <c r="E1031" s="185"/>
      <c r="F1031" s="69"/>
      <c r="G1031" s="70"/>
      <c r="H1031" s="70"/>
      <c r="I1031" s="3"/>
    </row>
    <row r="1032" ht="16.5" customHeight="1">
      <c r="A1032" s="3"/>
      <c r="B1032" s="63" t="b">
        <v>0</v>
      </c>
      <c r="C1032" s="64"/>
      <c r="D1032" s="66"/>
      <c r="E1032" s="185"/>
      <c r="F1032" s="69"/>
      <c r="G1032" s="70"/>
      <c r="H1032" s="70"/>
      <c r="I1032" s="3"/>
    </row>
    <row r="1033" ht="16.5" customHeight="1">
      <c r="A1033" s="3"/>
      <c r="B1033" s="63" t="b">
        <v>0</v>
      </c>
      <c r="C1033" s="64"/>
      <c r="D1033" s="66"/>
      <c r="E1033" s="185"/>
      <c r="F1033" s="69"/>
      <c r="G1033" s="70"/>
      <c r="H1033" s="70"/>
      <c r="I1033" s="3"/>
    </row>
    <row r="1034" ht="11.25" customHeight="1">
      <c r="A1034" s="3"/>
      <c r="B1034" s="3"/>
      <c r="C1034" s="188"/>
      <c r="D1034" s="189"/>
      <c r="E1034" s="190"/>
      <c r="F1034" s="191"/>
      <c r="G1034" s="190"/>
      <c r="H1034" s="190"/>
      <c r="I1034" s="3"/>
    </row>
  </sheetData>
  <mergeCells count="2">
    <mergeCell ref="B2:H2"/>
    <mergeCell ref="G4:H4"/>
  </mergeCells>
  <conditionalFormatting sqref="C8:H1033">
    <cfRule type="expression" dxfId="0" priority="1">
      <formula>$B8=TRUE</formula>
    </cfRule>
  </conditionalFormatting>
  <conditionalFormatting sqref="C4:F4">
    <cfRule type="expression" dxfId="4" priority="2" stopIfTrue="1">
      <formula>C4=44372.0</formula>
    </cfRule>
  </conditionalFormatting>
  <conditionalFormatting sqref="B1:B1034">
    <cfRule type="cellIs" dxfId="5" priority="3" operator="equal">
      <formula>"TRUE"</formula>
    </cfRule>
  </conditionalFormatting>
  <dataValidations>
    <dataValidation type="custom" allowBlank="1" showDropDown="1" showInputMessage="1" prompt="Enter a valid date" sqref="D8:D1034">
      <formula1>OR(NOT(ISERROR(DATEVALUE(D8))), AND(ISNUMBER(D8), LEFT(CELL("format", D8))="D"))</formula1>
    </dataValidation>
    <dataValidation type="list" allowBlank="1" showErrorMessage="1" sqref="H8:H560">
      <formula1>'⚙️Pengaturan'!$F$3:$F$100</formula1>
    </dataValidation>
    <dataValidation type="list" allowBlank="1" showErrorMessage="1" sqref="E8:E1033">
      <formula1>'⚙️Pengaturan'!$E$3:$E$100</formula1>
    </dataValidation>
  </dataValidation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9CE8F"/>
    <outlinePr summaryBelow="0" summaryRight="0"/>
  </sheetPr>
  <sheetViews>
    <sheetView showGridLines="0" workbookViewId="0"/>
  </sheetViews>
  <sheetFormatPr customHeight="1" defaultColWidth="12.63" defaultRowHeight="15.75"/>
  <cols>
    <col customWidth="1" min="1" max="1" width="2.0"/>
    <col customWidth="1" min="2" max="3" width="12.63"/>
    <col customWidth="1" min="4" max="4" width="8.88"/>
    <col customWidth="1" min="5" max="6" width="12.63"/>
    <col customWidth="1" min="7" max="7" width="8.88"/>
    <col customWidth="1" min="8" max="9" width="12.63"/>
    <col customWidth="1" min="10" max="10" width="8.88"/>
    <col customWidth="1" min="11" max="12" width="12.63"/>
    <col customWidth="1" min="13" max="13" width="2.0"/>
  </cols>
  <sheetData>
    <row r="1" ht="11.25" customHeight="1">
      <c r="A1" s="2"/>
      <c r="B1" s="2"/>
      <c r="C1" s="2"/>
      <c r="D1" s="2"/>
      <c r="E1" s="2"/>
      <c r="F1" s="2"/>
      <c r="G1" s="2"/>
      <c r="H1" s="2"/>
      <c r="I1" s="2"/>
      <c r="J1" s="2"/>
      <c r="K1" s="2"/>
      <c r="L1" s="2"/>
      <c r="M1" s="2"/>
    </row>
    <row r="2" ht="18.75" customHeight="1">
      <c r="A2" s="2"/>
      <c r="B2" s="103" t="s">
        <v>109</v>
      </c>
      <c r="J2" s="104" t="s">
        <v>110</v>
      </c>
      <c r="K2" s="105" t="str">
        <f>TEXT(TODAY(), "YYYY")
</f>
        <v>2026</v>
      </c>
      <c r="L2" s="106">
        <f>MONTH(DATEVALUE(K3&amp;" 1"))</f>
        <v>10</v>
      </c>
      <c r="M2" s="2"/>
    </row>
    <row r="3" ht="18.75" customHeight="1">
      <c r="A3" s="2"/>
      <c r="J3" s="104" t="s">
        <v>114</v>
      </c>
      <c r="K3" s="107" t="s">
        <v>83</v>
      </c>
      <c r="M3" s="2"/>
    </row>
    <row r="4" ht="18.75" customHeight="1">
      <c r="A4" s="2"/>
      <c r="B4" s="108"/>
      <c r="C4" s="108"/>
      <c r="D4" s="2"/>
      <c r="E4" s="108"/>
      <c r="F4" s="108"/>
      <c r="G4" s="2"/>
      <c r="H4" s="108"/>
      <c r="I4" s="108"/>
      <c r="J4" s="109"/>
      <c r="K4" s="110"/>
      <c r="L4" s="108"/>
      <c r="M4" s="2"/>
    </row>
    <row r="5" ht="30.0" customHeight="1">
      <c r="A5" s="2"/>
      <c r="B5" s="111"/>
      <c r="C5" s="111"/>
      <c r="D5" s="111"/>
      <c r="E5" s="112" t="s">
        <v>119</v>
      </c>
      <c r="F5" s="113"/>
      <c r="G5" s="113"/>
      <c r="H5" s="113"/>
      <c r="I5" s="113"/>
      <c r="J5" s="114"/>
      <c r="K5" s="114"/>
      <c r="L5" s="113"/>
      <c r="M5" s="115"/>
    </row>
    <row r="6" ht="15.0" customHeight="1">
      <c r="A6" s="2"/>
      <c r="B6" s="116"/>
      <c r="C6" s="116"/>
      <c r="D6" s="2"/>
      <c r="E6" s="116"/>
      <c r="F6" s="116"/>
      <c r="G6" s="2"/>
      <c r="H6" s="116"/>
      <c r="I6" s="116"/>
      <c r="J6" s="2"/>
      <c r="K6" s="116"/>
      <c r="L6" s="116"/>
      <c r="M6" s="2"/>
    </row>
    <row r="7" ht="22.5" customHeight="1">
      <c r="A7" s="2"/>
      <c r="B7" s="117" t="s">
        <v>121</v>
      </c>
      <c r="C7" s="118"/>
      <c r="D7" s="2"/>
      <c r="E7" s="117" t="s">
        <v>123</v>
      </c>
      <c r="F7" s="118"/>
      <c r="G7" s="2"/>
      <c r="H7" s="117" t="s">
        <v>125</v>
      </c>
      <c r="I7" s="118"/>
      <c r="J7" s="2"/>
      <c r="K7" s="117" t="s">
        <v>126</v>
      </c>
      <c r="L7" s="118"/>
      <c r="M7" s="2"/>
    </row>
    <row r="8" ht="22.5" customHeight="1">
      <c r="A8" s="2"/>
      <c r="B8" s="119">
        <f>COUNTIFS(Pemasukan!D:D, "&gt;="&amp;DATE(YEAR(TODAY()), L2, 1), Pemasukan!D:D, "&lt;="&amp;EOMONTH(DATE(YEAR(TODAY()), L2, 1), 0), Pemasukan!D:D, "&lt;&gt;")
</f>
        <v>1</v>
      </c>
      <c r="C8" s="120"/>
      <c r="D8" s="121"/>
      <c r="E8" s="122">
        <f t="array" ref="E8">INDIRECT("Arus Kas!" &amp; CHAR(66 + L2) &amp; "25")
</f>
        <v>0</v>
      </c>
      <c r="F8" s="120"/>
      <c r="G8" s="121"/>
      <c r="H8" s="122">
        <f t="array" ref="H8">INDIRECT("Arus Kas!" &amp; CHAR(66 + L2) &amp; "40")
</f>
        <v>0</v>
      </c>
      <c r="I8" s="120"/>
      <c r="J8" s="121"/>
      <c r="K8" s="122">
        <f t="array" ref="K8">INDIRECT("Arus Kas!" &amp; CHAR(66 + L2) &amp; "45")
</f>
        <v>254600</v>
      </c>
      <c r="L8" s="120"/>
      <c r="M8" s="2"/>
    </row>
    <row r="9" ht="22.5" customHeight="1">
      <c r="A9" s="2"/>
      <c r="B9" s="123"/>
      <c r="C9" s="124"/>
      <c r="D9" s="121"/>
      <c r="E9" s="123"/>
      <c r="F9" s="124"/>
      <c r="G9" s="121"/>
      <c r="H9" s="123"/>
      <c r="I9" s="124"/>
      <c r="J9" s="121"/>
      <c r="K9" s="123"/>
      <c r="L9" s="124"/>
      <c r="M9" s="2"/>
    </row>
    <row r="10" ht="18.75" customHeight="1">
      <c r="A10" s="2"/>
      <c r="B10" s="125"/>
      <c r="C10" s="125"/>
      <c r="D10" s="2"/>
      <c r="E10" s="125"/>
      <c r="F10" s="125"/>
      <c r="G10" s="2"/>
      <c r="H10" s="125"/>
      <c r="I10" s="125"/>
      <c r="J10" s="2"/>
      <c r="K10" s="125"/>
      <c r="L10" s="125"/>
      <c r="M10" s="2"/>
    </row>
    <row r="11" ht="18.75" customHeight="1">
      <c r="A11" s="2"/>
      <c r="B11" s="125"/>
      <c r="C11" s="125"/>
      <c r="D11" s="2"/>
      <c r="E11" s="125"/>
      <c r="F11" s="125"/>
      <c r="G11" s="2"/>
      <c r="H11" s="125"/>
      <c r="I11" s="125"/>
      <c r="J11" s="2"/>
      <c r="K11" s="125"/>
      <c r="L11" s="125"/>
      <c r="M11" s="2"/>
    </row>
    <row r="12" ht="18.75" customHeight="1">
      <c r="A12" s="2"/>
      <c r="B12" s="125"/>
      <c r="C12" s="125"/>
      <c r="D12" s="2"/>
      <c r="E12" s="125"/>
      <c r="F12" s="125"/>
      <c r="G12" s="2"/>
      <c r="H12" s="125"/>
      <c r="I12" s="125"/>
      <c r="J12" s="2"/>
      <c r="K12" s="125"/>
      <c r="L12" s="125"/>
      <c r="M12" s="2"/>
    </row>
    <row r="13" ht="18.75" customHeight="1">
      <c r="A13" s="2"/>
      <c r="B13" s="125"/>
      <c r="C13" s="125"/>
      <c r="D13" s="2"/>
      <c r="E13" s="125"/>
      <c r="F13" s="125"/>
      <c r="G13" s="2"/>
      <c r="H13" s="125"/>
      <c r="I13" s="125"/>
      <c r="J13" s="2"/>
      <c r="K13" s="125"/>
      <c r="L13" s="125"/>
      <c r="M13" s="2"/>
    </row>
    <row r="14" ht="18.75" customHeight="1">
      <c r="A14" s="2"/>
      <c r="B14" s="125"/>
      <c r="C14" s="125"/>
      <c r="D14" s="2"/>
      <c r="E14" s="125"/>
      <c r="F14" s="125"/>
      <c r="G14" s="2"/>
      <c r="H14" s="125"/>
      <c r="I14" s="125"/>
      <c r="J14" s="2"/>
      <c r="K14" s="125"/>
      <c r="L14" s="125"/>
      <c r="M14" s="2"/>
    </row>
    <row r="15" ht="18.75" customHeight="1">
      <c r="A15" s="2"/>
      <c r="B15" s="125"/>
      <c r="C15" s="125"/>
      <c r="D15" s="2"/>
      <c r="E15" s="125"/>
      <c r="F15" s="125"/>
      <c r="G15" s="2"/>
      <c r="H15" s="125"/>
      <c r="I15" s="125"/>
      <c r="J15" s="2"/>
      <c r="K15" s="125"/>
      <c r="L15" s="125"/>
      <c r="M15" s="2"/>
    </row>
    <row r="16" ht="18.75" customHeight="1">
      <c r="A16" s="2"/>
      <c r="B16" s="125"/>
      <c r="C16" s="125"/>
      <c r="D16" s="2"/>
      <c r="E16" s="125"/>
      <c r="F16" s="125"/>
      <c r="G16" s="2"/>
      <c r="H16" s="125"/>
      <c r="I16" s="125"/>
      <c r="J16" s="2"/>
      <c r="K16" s="125"/>
      <c r="L16" s="125"/>
      <c r="M16" s="2"/>
    </row>
    <row r="17" ht="18.75" customHeight="1">
      <c r="A17" s="2"/>
      <c r="B17" s="125"/>
      <c r="C17" s="125"/>
      <c r="D17" s="2"/>
      <c r="E17" s="125"/>
      <c r="F17" s="125"/>
      <c r="G17" s="2"/>
      <c r="H17" s="125"/>
      <c r="I17" s="125"/>
      <c r="J17" s="2"/>
      <c r="K17" s="125"/>
      <c r="L17" s="125"/>
      <c r="M17" s="2"/>
    </row>
    <row r="18" ht="18.75" customHeight="1">
      <c r="A18" s="2"/>
      <c r="B18" s="125"/>
      <c r="C18" s="125"/>
      <c r="D18" s="2"/>
      <c r="E18" s="125"/>
      <c r="F18" s="125"/>
      <c r="G18" s="2"/>
      <c r="H18" s="125"/>
      <c r="I18" s="125"/>
      <c r="J18" s="2"/>
      <c r="K18" s="125"/>
      <c r="L18" s="125"/>
      <c r="M18" s="2"/>
    </row>
    <row r="19" ht="18.75" customHeight="1">
      <c r="A19" s="2"/>
      <c r="B19" s="125"/>
      <c r="C19" s="125"/>
      <c r="D19" s="2"/>
      <c r="E19" s="125"/>
      <c r="F19" s="125"/>
      <c r="G19" s="2"/>
      <c r="H19" s="125"/>
      <c r="I19" s="125"/>
      <c r="J19" s="2"/>
      <c r="K19" s="125"/>
      <c r="L19" s="125"/>
      <c r="M19" s="2"/>
    </row>
    <row r="20" ht="18.75" customHeight="1">
      <c r="A20" s="2"/>
      <c r="B20" s="125"/>
      <c r="C20" s="125"/>
      <c r="D20" s="2"/>
      <c r="E20" s="125"/>
      <c r="F20" s="125"/>
      <c r="G20" s="2"/>
      <c r="H20" s="125"/>
      <c r="I20" s="125"/>
      <c r="J20" s="2"/>
      <c r="K20" s="125"/>
      <c r="L20" s="125"/>
      <c r="M20" s="2"/>
    </row>
    <row r="21" ht="18.75" customHeight="1">
      <c r="A21" s="2"/>
      <c r="B21" s="125"/>
      <c r="C21" s="125"/>
      <c r="D21" s="2"/>
      <c r="E21" s="125"/>
      <c r="F21" s="125"/>
      <c r="G21" s="2"/>
      <c r="H21" s="125"/>
      <c r="I21" s="125"/>
      <c r="J21" s="2"/>
      <c r="K21" s="125"/>
      <c r="L21" s="125"/>
      <c r="M21" s="2"/>
    </row>
    <row r="22" ht="18.75" customHeight="1">
      <c r="A22" s="2"/>
      <c r="B22" s="125"/>
      <c r="C22" s="125"/>
      <c r="D22" s="2"/>
      <c r="E22" s="125"/>
      <c r="F22" s="125"/>
      <c r="G22" s="2"/>
      <c r="H22" s="125"/>
      <c r="I22" s="125"/>
      <c r="J22" s="2"/>
      <c r="K22" s="125"/>
      <c r="L22" s="125"/>
      <c r="M22" s="2"/>
    </row>
    <row r="23" ht="18.75" customHeight="1">
      <c r="A23" s="2"/>
      <c r="B23" s="125"/>
      <c r="C23" s="125"/>
      <c r="D23" s="2"/>
      <c r="E23" s="125"/>
      <c r="F23" s="125"/>
      <c r="G23" s="2"/>
      <c r="H23" s="125"/>
      <c r="I23" s="125"/>
      <c r="J23" s="2"/>
      <c r="K23" s="125"/>
      <c r="L23" s="125"/>
      <c r="M23" s="2"/>
    </row>
    <row r="24" ht="18.75" customHeight="1">
      <c r="A24" s="2"/>
      <c r="B24" s="125"/>
      <c r="C24" s="125"/>
      <c r="D24" s="2"/>
      <c r="E24" s="125"/>
      <c r="F24" s="125"/>
      <c r="G24" s="2"/>
      <c r="H24" s="125"/>
      <c r="I24" s="125"/>
      <c r="J24" s="2"/>
      <c r="K24" s="125"/>
      <c r="L24" s="125"/>
      <c r="M24" s="2"/>
    </row>
    <row r="25" ht="18.75" customHeight="1">
      <c r="A25" s="2"/>
      <c r="B25" s="125"/>
      <c r="C25" s="125"/>
      <c r="D25" s="2"/>
      <c r="E25" s="125"/>
      <c r="F25" s="125"/>
      <c r="G25" s="2"/>
      <c r="H25" s="125"/>
      <c r="I25" s="125"/>
      <c r="J25" s="2"/>
      <c r="K25" s="125"/>
      <c r="L25" s="125"/>
      <c r="M25" s="2"/>
    </row>
    <row r="26" ht="18.75" customHeight="1">
      <c r="A26" s="2"/>
      <c r="B26" s="125"/>
      <c r="C26" s="125"/>
      <c r="D26" s="2"/>
      <c r="E26" s="125"/>
      <c r="F26" s="125"/>
      <c r="G26" s="2"/>
      <c r="H26" s="125"/>
      <c r="I26" s="125"/>
      <c r="J26" s="2"/>
      <c r="K26" s="125"/>
      <c r="L26" s="125"/>
      <c r="M26" s="2"/>
    </row>
    <row r="27" ht="18.75" customHeight="1">
      <c r="A27" s="2"/>
      <c r="B27" s="125"/>
      <c r="C27" s="125"/>
      <c r="D27" s="2"/>
      <c r="E27" s="125"/>
      <c r="F27" s="125"/>
      <c r="G27" s="2"/>
      <c r="H27" s="125"/>
      <c r="I27" s="125"/>
      <c r="J27" s="2"/>
      <c r="K27" s="125"/>
      <c r="L27" s="125"/>
      <c r="M27" s="2"/>
    </row>
    <row r="28" ht="18.75" customHeight="1">
      <c r="A28" s="2"/>
      <c r="B28" s="125"/>
      <c r="C28" s="125"/>
      <c r="D28" s="2"/>
      <c r="E28" s="125"/>
      <c r="F28" s="125"/>
      <c r="G28" s="2"/>
      <c r="H28" s="125"/>
      <c r="I28" s="125"/>
      <c r="J28" s="2"/>
      <c r="K28" s="125"/>
      <c r="L28" s="125"/>
      <c r="M28" s="2"/>
    </row>
    <row r="29" ht="13.5" customHeight="1">
      <c r="A29" s="2"/>
      <c r="B29" s="126"/>
      <c r="C29" s="126"/>
      <c r="D29" s="127"/>
      <c r="E29" s="128" t="s">
        <v>146</v>
      </c>
      <c r="F29" s="129"/>
      <c r="G29" s="129"/>
      <c r="H29" s="129"/>
      <c r="I29" s="129"/>
      <c r="J29" s="127"/>
      <c r="K29" s="130" t="s">
        <v>148</v>
      </c>
      <c r="L29" s="131" t="s">
        <v>149</v>
      </c>
      <c r="M29" s="2"/>
    </row>
    <row r="30" ht="16.5" customHeight="1">
      <c r="A30" s="115"/>
      <c r="B30" s="132"/>
      <c r="C30" s="132"/>
      <c r="D30" s="132"/>
      <c r="E30" s="133"/>
      <c r="F30" s="133"/>
      <c r="G30" s="133"/>
      <c r="H30" s="133"/>
      <c r="I30" s="133"/>
      <c r="J30" s="134"/>
      <c r="K30" s="135">
        <v>45292.0</v>
      </c>
      <c r="L30" s="136">
        <v>45322.0</v>
      </c>
      <c r="M30" s="115"/>
    </row>
    <row r="31" ht="15.0" customHeight="1">
      <c r="A31" s="2"/>
      <c r="B31" s="125"/>
      <c r="C31" s="125"/>
      <c r="D31" s="125"/>
      <c r="E31" s="125"/>
      <c r="F31" s="125"/>
      <c r="G31" s="125"/>
      <c r="H31" s="125"/>
      <c r="I31" s="125"/>
      <c r="J31" s="125"/>
      <c r="K31" s="125"/>
      <c r="L31" s="125"/>
      <c r="M31" s="2"/>
    </row>
    <row r="32" ht="26.25" customHeight="1">
      <c r="A32" s="137"/>
      <c r="B32" s="138" t="s">
        <v>152</v>
      </c>
      <c r="E32" s="138"/>
      <c r="F32" s="138"/>
      <c r="G32" s="139"/>
      <c r="H32" s="138" t="s">
        <v>153</v>
      </c>
      <c r="K32" s="138"/>
      <c r="L32" s="138"/>
      <c r="M32" s="137"/>
    </row>
    <row r="33" ht="22.5" customHeight="1">
      <c r="A33" s="137"/>
      <c r="B33" s="140" t="s">
        <v>154</v>
      </c>
      <c r="C33" s="141"/>
      <c r="D33" s="142" t="s">
        <v>157</v>
      </c>
      <c r="E33" s="143" t="s">
        <v>16</v>
      </c>
      <c r="F33" s="144" t="s">
        <v>158</v>
      </c>
      <c r="G33" s="145"/>
      <c r="H33" s="140" t="s">
        <v>160</v>
      </c>
      <c r="I33" s="141"/>
      <c r="J33" s="142" t="s">
        <v>157</v>
      </c>
      <c r="K33" s="143" t="s">
        <v>16</v>
      </c>
      <c r="L33" s="144" t="s">
        <v>158</v>
      </c>
      <c r="M33" s="137"/>
    </row>
    <row r="34" ht="18.75" customHeight="1">
      <c r="A34" s="2"/>
      <c r="B34" s="146" t="str">
        <f>'⚙️Pengaturan'!C3</f>
        <v>New Paket Terapi 1  </v>
      </c>
      <c r="C34" s="147"/>
      <c r="D34" s="148">
        <f>COUNTIFS(Pemasukan!$D:$D, "&gt;="&amp;TEXT($K$30, "DD/MM/YYYY"), Pemasukan!$D:$D, "&lt;="&amp;TEXT($L$30, "DD/MM/YYYY"), Pemasukan!$F:$F, B34)</f>
        <v>0</v>
      </c>
      <c r="E34" s="149">
        <f>SUMIFS(Pemasukan!$J:$J, Pemasukan!$D:$D, "&gt;="&amp;TEXT($K$30, "DD/MM/YYYY"), Pemasukan!$D:$D, "&lt;="&amp;TEXT($L$30, "DD/MM/YYYY"), Pemasukan!$F:$F, B34)
</f>
        <v>0</v>
      </c>
      <c r="F34" s="150"/>
      <c r="G34" s="151"/>
      <c r="H34" s="146" t="str">
        <f>'⚙️Pengaturan'!F3</f>
        <v>TRF</v>
      </c>
      <c r="I34" s="147"/>
      <c r="J34" s="148">
        <f>COUNTIFS(Pemasukan!$D:$D, "&gt;="&amp;TEXT($K$30, "DD/MM/YYYY"), Pemasukan!$D:$D, "&lt;="&amp;TEXT($L$30, "DD/MM/YYYY"), Pemasukan!$H:$H, H34)</f>
        <v>8</v>
      </c>
      <c r="K34" s="149">
        <f>SUMIFS(Pemasukan!$J:$J, Pemasukan!$D:$D, "&gt;="&amp;TEXT($K$30, "DD/MM/YYYY"), Pemasukan!$D:$D, "&lt;="&amp;TEXT($L$30, "DD/MM/YYYY"), Pemasukan!$H:$H, H34)</f>
        <v>4950000</v>
      </c>
      <c r="L34" s="150"/>
      <c r="M34" s="2"/>
    </row>
    <row r="35" ht="18.75" customHeight="1">
      <c r="A35" s="2"/>
      <c r="B35" s="152" t="str">
        <f t="shared" ref="B35:B36" si="1">#REF!</f>
        <v>#REF!</v>
      </c>
      <c r="C35" s="153"/>
      <c r="D35" s="155">
        <f>COUNTIFS(Pemasukan!$D:$D, "&gt;="&amp;TEXT($K$30, "DD/MM/YYYY"), Pemasukan!$D:$D, "&lt;="&amp;TEXT($L$30, "DD/MM/YYYY"), Pemasukan!$F:$F, B35)</f>
        <v>0</v>
      </c>
      <c r="E35" s="149">
        <f>SUMIFS(Pemasukan!$J:$J, Pemasukan!$D:$D, "&gt;="&amp;TEXT($K$30, "DD/MM/YYYY"), Pemasukan!$D:$D, "&lt;="&amp;TEXT($L$30, "DD/MM/YYYY"), Pemasukan!$F:$F, B35)
</f>
        <v>0</v>
      </c>
      <c r="F35" s="156"/>
      <c r="G35" s="151"/>
      <c r="H35" s="152" t="str">
        <f>'⚙️Pengaturan'!F4</f>
        <v>TUNAI</v>
      </c>
      <c r="I35" s="153"/>
      <c r="J35" s="155">
        <f>COUNTIFS(Pemasukan!$D:$D, "&gt;="&amp;TEXT($K$30, "DD/MM/YYYY"), Pemasukan!$D:$D, "&lt;="&amp;TEXT($L$30, "DD/MM/YYYY"), Pemasukan!$H:$H, H35)</f>
        <v>45</v>
      </c>
      <c r="K35" s="149">
        <f>SUMIFS(Pemasukan!$J:$J, Pemasukan!$D:$D, "&gt;="&amp;TEXT($K$30, "DD/MM/YYYY"), Pemasukan!$D:$D, "&lt;="&amp;TEXT($L$30, "DD/MM/YYYY"), Pemasukan!$H:$H, H35)</f>
        <v>13850000</v>
      </c>
      <c r="L35" s="156"/>
      <c r="M35" s="2"/>
    </row>
    <row r="36" ht="18.75" customHeight="1">
      <c r="A36" s="2"/>
      <c r="B36" s="152" t="str">
        <f t="shared" si="1"/>
        <v>#REF!</v>
      </c>
      <c r="C36" s="153"/>
      <c r="D36" s="155">
        <f>COUNTIFS(Pemasukan!$D:$D, "&gt;="&amp;TEXT($K$30, "DD/MM/YYYY"), Pemasukan!$D:$D, "&lt;="&amp;TEXT($L$30, "DD/MM/YYYY"), Pemasukan!$F:$F, B36)</f>
        <v>0</v>
      </c>
      <c r="E36" s="149">
        <f>SUMIFS(Pemasukan!$J:$J, Pemasukan!$D:$D, "&gt;="&amp;TEXT($K$30, "DD/MM/YYYY"), Pemasukan!$D:$D, "&lt;="&amp;TEXT($L$30, "DD/MM/YYYY"), Pemasukan!$F:$F, B36)
</f>
        <v>0</v>
      </c>
      <c r="F36" s="156"/>
      <c r="G36" s="151"/>
      <c r="H36" s="152" t="str">
        <f>'⚙️Pengaturan'!F5</f>
        <v/>
      </c>
      <c r="I36" s="153"/>
      <c r="J36" s="155">
        <f>COUNTIFS(Pemasukan!$D:$D, "&gt;="&amp;TEXT($K$30, "DD/MM/YYYY"), Pemasukan!$D:$D, "&lt;="&amp;TEXT($L$30, "DD/MM/YYYY"), Pemasukan!$H:$H, H36)</f>
        <v>0</v>
      </c>
      <c r="K36" s="149">
        <f>SUMIFS(Pemasukan!$J:$J, Pemasukan!$D:$D, "&gt;="&amp;TEXT($K$30, "DD/MM/YYYY"), Pemasukan!$D:$D, "&lt;="&amp;TEXT($L$30, "DD/MM/YYYY"), Pemasukan!$H:$H, H36)</f>
        <v>0</v>
      </c>
      <c r="L36" s="156"/>
      <c r="M36" s="2"/>
    </row>
    <row r="37" ht="18.75" customHeight="1">
      <c r="A37" s="2"/>
      <c r="B37" s="152" t="str">
        <f>'⚙️Pengaturan'!C4</f>
        <v>New Paket Terapi 2 </v>
      </c>
      <c r="C37" s="153"/>
      <c r="D37" s="155">
        <f>COUNTIFS(Pemasukan!$D:$D, "&gt;="&amp;TEXT($K$30, "DD/MM/YYYY"), Pemasukan!$D:$D, "&lt;="&amp;TEXT($L$30, "DD/MM/YYYY"), Pemasukan!$F:$F, B37)</f>
        <v>0</v>
      </c>
      <c r="E37" s="149">
        <f>SUMIFS(Pemasukan!$J:$J, Pemasukan!$D:$D, "&gt;="&amp;TEXT($K$30, "DD/MM/YYYY"), Pemasukan!$D:$D, "&lt;="&amp;TEXT($L$30, "DD/MM/YYYY"), Pemasukan!$F:$F, B37)
</f>
        <v>0</v>
      </c>
      <c r="F37" s="156"/>
      <c r="G37" s="151"/>
      <c r="H37" s="152" t="str">
        <f>'⚙️Pengaturan'!F6</f>
        <v/>
      </c>
      <c r="I37" s="153"/>
      <c r="J37" s="155">
        <f>COUNTIFS(Pemasukan!$D:$D, "&gt;="&amp;TEXT($K$30, "DD/MM/YYYY"), Pemasukan!$D:$D, "&lt;="&amp;TEXT($L$30, "DD/MM/YYYY"), Pemasukan!$H:$H, H37)</f>
        <v>0</v>
      </c>
      <c r="K37" s="149">
        <f>SUMIFS(Pemasukan!$J:$J, Pemasukan!$D:$D, "&gt;="&amp;TEXT($K$30, "DD/MM/YYYY"), Pemasukan!$D:$D, "&lt;="&amp;TEXT($L$30, "DD/MM/YYYY"), Pemasukan!$H:$H, H37)</f>
        <v>0</v>
      </c>
      <c r="L37" s="156"/>
      <c r="M37" s="2"/>
    </row>
    <row r="38" ht="18.75" customHeight="1">
      <c r="A38" s="2"/>
      <c r="B38" s="152" t="str">
        <f>'⚙️Pengaturan'!C5</f>
        <v>New Paket Terapi 3</v>
      </c>
      <c r="C38" s="153"/>
      <c r="D38" s="155">
        <f>COUNTIFS(Pemasukan!$D:$D, "&gt;="&amp;TEXT($K$30, "DD/MM/YYYY"), Pemasukan!$D:$D, "&lt;="&amp;TEXT($L$30, "DD/MM/YYYY"), Pemasukan!$F:$F, B38)</f>
        <v>0</v>
      </c>
      <c r="E38" s="149">
        <f>SUMIFS(Pemasukan!$J:$J, Pemasukan!$D:$D, "&gt;="&amp;TEXT($K$30, "DD/MM/YYYY"), Pemasukan!$D:$D, "&lt;="&amp;TEXT($L$30, "DD/MM/YYYY"), Pemasukan!$F:$F, B38)
</f>
        <v>0</v>
      </c>
      <c r="F38" s="156"/>
      <c r="G38" s="157"/>
      <c r="H38" s="152" t="str">
        <f>'⚙️Pengaturan'!F7</f>
        <v/>
      </c>
      <c r="I38" s="153"/>
      <c r="J38" s="155">
        <f>COUNTIFS(Pemasukan!$D:$D, "&gt;="&amp;TEXT($K$30, "DD/MM/YYYY"), Pemasukan!$D:$D, "&lt;="&amp;TEXT($L$30, "DD/MM/YYYY"), Pemasukan!$H:$H, H38)</f>
        <v>0</v>
      </c>
      <c r="K38" s="149">
        <f>SUMIFS(Pemasukan!$J:$J, Pemasukan!$D:$D, "&gt;="&amp;TEXT($K$30, "DD/MM/YYYY"), Pemasukan!$D:$D, "&lt;="&amp;TEXT($L$30, "DD/MM/YYYY"), Pemasukan!$H:$H, H38)</f>
        <v>0</v>
      </c>
      <c r="L38" s="156"/>
      <c r="M38" s="2"/>
    </row>
    <row r="39" ht="18.75" customHeight="1">
      <c r="A39" s="2"/>
      <c r="B39" s="152" t="str">
        <f>'⚙️Pengaturan'!C6</f>
        <v>New Sesi Terapi</v>
      </c>
      <c r="C39" s="153"/>
      <c r="D39" s="155">
        <f>COUNTIFS(Pemasukan!$D:$D, "&gt;="&amp;TEXT($K$30, "DD/MM/YYYY"), Pemasukan!$D:$D, "&lt;="&amp;TEXT($L$30, "DD/MM/YYYY"), Pemasukan!$F:$F, B39)</f>
        <v>0</v>
      </c>
      <c r="E39" s="149">
        <f>SUMIFS(Pemasukan!$J:$J, Pemasukan!$D:$D, "&gt;="&amp;TEXT($K$30, "DD/MM/YYYY"), Pemasukan!$D:$D, "&lt;="&amp;TEXT($L$30, "DD/MM/YYYY"), Pemasukan!$F:$F, B39)
</f>
        <v>0</v>
      </c>
      <c r="F39" s="156"/>
      <c r="G39" s="157"/>
      <c r="H39" s="152" t="str">
        <f>'⚙️Pengaturan'!F8</f>
        <v/>
      </c>
      <c r="I39" s="153"/>
      <c r="J39" s="155">
        <f>COUNTIFS(Pemasukan!$D:$D, "&gt;="&amp;TEXT($K$30, "DD/MM/YYYY"), Pemasukan!$D:$D, "&lt;="&amp;TEXT($L$30, "DD/MM/YYYY"), Pemasukan!$H:$H, H39)</f>
        <v>0</v>
      </c>
      <c r="K39" s="149">
        <f>SUMIFS(Pemasukan!$J:$J, Pemasukan!$D:$D, "&gt;="&amp;TEXT($K$30, "DD/MM/YYYY"), Pemasukan!$D:$D, "&lt;="&amp;TEXT($L$30, "DD/MM/YYYY"), Pemasukan!$H:$H, H39)</f>
        <v>0</v>
      </c>
      <c r="L39" s="156"/>
      <c r="M39" s="2"/>
    </row>
    <row r="40" ht="18.75" customHeight="1">
      <c r="A40" s="2"/>
      <c r="B40" s="152" t="str">
        <f>'⚙️Pengaturan'!C7</f>
        <v>New Sesi terapi Homevisit</v>
      </c>
      <c r="C40" s="153"/>
      <c r="D40" s="155">
        <f>COUNTIFS(Pemasukan!$D:$D, "&gt;="&amp;TEXT($K$30, "DD/MM/YYYY"), Pemasukan!$D:$D, "&lt;="&amp;TEXT($L$30, "DD/MM/YYYY"), Pemasukan!$F:$F, B40)</f>
        <v>0</v>
      </c>
      <c r="E40" s="149">
        <f>SUMIFS(Pemasukan!$J:$J, Pemasukan!$D:$D, "&gt;="&amp;TEXT($K$30, "DD/MM/YYYY"), Pemasukan!$D:$D, "&lt;="&amp;TEXT($L$30, "DD/MM/YYYY"), Pemasukan!$F:$F, B40)
</f>
        <v>0</v>
      </c>
      <c r="F40" s="156"/>
      <c r="G40" s="157"/>
      <c r="H40" s="152" t="str">
        <f>'⚙️Pengaturan'!F9</f>
        <v/>
      </c>
      <c r="I40" s="153"/>
      <c r="J40" s="155">
        <f>COUNTIFS(Pemasukan!$D:$D, "&gt;="&amp;TEXT($K$30, "DD/MM/YYYY"), Pemasukan!$D:$D, "&lt;="&amp;TEXT($L$30, "DD/MM/YYYY"), Pemasukan!$H:$H, H40)</f>
        <v>0</v>
      </c>
      <c r="K40" s="149">
        <f>SUMIFS(Pemasukan!$J:$J, Pemasukan!$D:$D, "&gt;="&amp;TEXT($K$30, "DD/MM/YYYY"), Pemasukan!$D:$D, "&lt;="&amp;TEXT($L$30, "DD/MM/YYYY"), Pemasukan!$H:$H, H40)</f>
        <v>0</v>
      </c>
      <c r="L40" s="156"/>
      <c r="M40" s="2"/>
    </row>
    <row r="41" ht="18.75" customHeight="1">
      <c r="A41" s="2"/>
      <c r="B41" s="152" t="str">
        <f>'⚙️Pengaturan'!C8</f>
        <v>New Sesi terapi Homevisit + Jarak</v>
      </c>
      <c r="C41" s="153"/>
      <c r="D41" s="155">
        <f>COUNTIFS(Pemasukan!$D:$D, "&gt;="&amp;TEXT($K$30, "DD/MM/YYYY"), Pemasukan!$D:$D, "&lt;="&amp;TEXT($L$30, "DD/MM/YYYY"), Pemasukan!$F:$F, B41)</f>
        <v>0</v>
      </c>
      <c r="E41" s="149">
        <f>SUMIFS(Pemasukan!$J:$J, Pemasukan!$D:$D, "&gt;="&amp;TEXT($K$30, "DD/MM/YYYY"), Pemasukan!$D:$D, "&lt;="&amp;TEXT($L$30, "DD/MM/YYYY"), Pemasukan!$F:$F, B41)
</f>
        <v>0</v>
      </c>
      <c r="F41" s="156"/>
      <c r="G41" s="157"/>
      <c r="H41" s="152" t="str">
        <f>'⚙️Pengaturan'!F10</f>
        <v/>
      </c>
      <c r="I41" s="153"/>
      <c r="J41" s="155">
        <f>COUNTIFS(Pemasukan!$D:$D, "&gt;="&amp;TEXT($K$30, "DD/MM/YYYY"), Pemasukan!$D:$D, "&lt;="&amp;TEXT($L$30, "DD/MM/YYYY"), Pemasukan!$H:$H, H41)</f>
        <v>0</v>
      </c>
      <c r="K41" s="149">
        <f>SUMIFS(Pemasukan!$J:$J, Pemasukan!$D:$D, "&gt;="&amp;TEXT($K$30, "DD/MM/YYYY"), Pemasukan!$D:$D, "&lt;="&amp;TEXT($L$30, "DD/MM/YYYY"), Pemasukan!$H:$H, H41)</f>
        <v>0</v>
      </c>
      <c r="L41" s="156"/>
      <c r="M41" s="2"/>
    </row>
    <row r="42" ht="18.75" customHeight="1">
      <c r="A42" s="2"/>
      <c r="B42" s="152" t="str">
        <f>'⚙️Pengaturan'!C9</f>
        <v>New Paket Terapi Homevisit</v>
      </c>
      <c r="C42" s="153"/>
      <c r="D42" s="155">
        <f>COUNTIFS(Pemasukan!$D:$D, "&gt;="&amp;TEXT($K$30, "DD/MM/YYYY"), Pemasukan!$D:$D, "&lt;="&amp;TEXT($L$30, "DD/MM/YYYY"), Pemasukan!$F:$F, B42)</f>
        <v>0</v>
      </c>
      <c r="E42" s="149">
        <f>SUMIFS(Pemasukan!$J:$J, Pemasukan!$D:$D, "&gt;="&amp;TEXT($K$30, "DD/MM/YYYY"), Pemasukan!$D:$D, "&lt;="&amp;TEXT($L$30, "DD/MM/YYYY"), Pemasukan!$F:$F, B42)
</f>
        <v>0</v>
      </c>
      <c r="F42" s="156"/>
      <c r="G42" s="157"/>
      <c r="H42" s="152" t="str">
        <f>'⚙️Pengaturan'!F11</f>
        <v/>
      </c>
      <c r="I42" s="153"/>
      <c r="J42" s="155">
        <f>COUNTIFS(Pemasukan!$D:$D, "&gt;="&amp;TEXT($K$30, "DD/MM/YYYY"), Pemasukan!$D:$D, "&lt;="&amp;TEXT($L$30, "DD/MM/YYYY"), Pemasukan!$H:$H, H42)</f>
        <v>0</v>
      </c>
      <c r="K42" s="149">
        <f>SUMIFS(Pemasukan!$J:$J, Pemasukan!$D:$D, "&gt;="&amp;TEXT($K$30, "DD/MM/YYYY"), Pemasukan!$D:$D, "&lt;="&amp;TEXT($L$30, "DD/MM/YYYY"), Pemasukan!$H:$H, H42)</f>
        <v>0</v>
      </c>
      <c r="L42" s="156"/>
      <c r="M42" s="2"/>
    </row>
    <row r="43" ht="18.75" customHeight="1">
      <c r="A43" s="2"/>
      <c r="B43" s="152" t="str">
        <f>'⚙️Pengaturan'!C10</f>
        <v>New Paket Terapi Homevisit+ Jarak</v>
      </c>
      <c r="C43" s="153"/>
      <c r="D43" s="155">
        <f>COUNTIFS(Pemasukan!$D:$D, "&gt;="&amp;TEXT($K$30, "DD/MM/YYYY"), Pemasukan!$D:$D, "&lt;="&amp;TEXT($L$30, "DD/MM/YYYY"), Pemasukan!$F:$F, B43)</f>
        <v>0</v>
      </c>
      <c r="E43" s="149">
        <f>SUMIFS(Pemasukan!$J:$J, Pemasukan!$D:$D, "&gt;="&amp;TEXT($K$30, "DD/MM/YYYY"), Pemasukan!$D:$D, "&lt;="&amp;TEXT($L$30, "DD/MM/YYYY"), Pemasukan!$F:$F, B43)
</f>
        <v>0</v>
      </c>
      <c r="F43" s="156"/>
      <c r="G43" s="157"/>
      <c r="H43" s="152" t="str">
        <f>'⚙️Pengaturan'!F12</f>
        <v/>
      </c>
      <c r="I43" s="153"/>
      <c r="J43" s="155">
        <f>COUNTIFS(Pemasukan!$D:$D, "&gt;="&amp;TEXT($K$30, "DD/MM/YYYY"), Pemasukan!$D:$D, "&lt;="&amp;TEXT($L$30, "DD/MM/YYYY"), Pemasukan!$H:$H, H43)</f>
        <v>0</v>
      </c>
      <c r="K43" s="149">
        <f>SUMIFS(Pemasukan!$J:$J, Pemasukan!$D:$D, "&gt;="&amp;TEXT($K$30, "DD/MM/YYYY"), Pemasukan!$D:$D, "&lt;="&amp;TEXT($L$30, "DD/MM/YYYY"), Pemasukan!$H:$H, H43)</f>
        <v>0</v>
      </c>
      <c r="L43" s="156"/>
      <c r="M43" s="2"/>
    </row>
    <row r="44" ht="18.75" customHeight="1">
      <c r="A44" s="2"/>
      <c r="B44" s="152" t="str">
        <f>'⚙️Pengaturan'!C11</f>
        <v>Terapi Awal </v>
      </c>
      <c r="C44" s="153"/>
      <c r="D44" s="155">
        <f>COUNTIFS(Pemasukan!$D:$D, "&gt;="&amp;TEXT($K$30, "DD/MM/YYYY"), Pemasukan!$D:$D, "&lt;="&amp;TEXT($L$30, "DD/MM/YYYY"), Pemasukan!$F:$F, B44)</f>
        <v>21</v>
      </c>
      <c r="E44" s="149">
        <f>SUMIFS(Pemasukan!$J:$J, Pemasukan!$D:$D, "&gt;="&amp;TEXT($K$30, "DD/MM/YYYY"), Pemasukan!$D:$D, "&lt;="&amp;TEXT($L$30, "DD/MM/YYYY"), Pemasukan!$F:$F, B44)
</f>
        <v>5250000</v>
      </c>
      <c r="F44" s="156"/>
      <c r="G44" s="157"/>
      <c r="H44" s="152" t="str">
        <f>'⚙️Pengaturan'!F13</f>
        <v/>
      </c>
      <c r="I44" s="153"/>
      <c r="J44" s="155">
        <f>COUNTIFS(Pemasukan!$D:$D, "&gt;="&amp;TEXT($K$30, "DD/MM/YYYY"), Pemasukan!$D:$D, "&lt;="&amp;TEXT($L$30, "DD/MM/YYYY"), Pemasukan!$H:$H, H44)</f>
        <v>0</v>
      </c>
      <c r="K44" s="149">
        <f>SUMIFS(Pemasukan!$J:$J, Pemasukan!$D:$D, "&gt;="&amp;TEXT($K$30, "DD/MM/YYYY"), Pemasukan!$D:$D, "&lt;="&amp;TEXT($L$30, "DD/MM/YYYY"), Pemasukan!$H:$H, H44)</f>
        <v>0</v>
      </c>
      <c r="L44" s="156"/>
      <c r="M44" s="2"/>
    </row>
    <row r="45" ht="18.75" customHeight="1">
      <c r="A45" s="2"/>
      <c r="B45" s="152" t="str">
        <f>'⚙️Pengaturan'!C12</f>
        <v>Paket Terapi 1  </v>
      </c>
      <c r="C45" s="153"/>
      <c r="D45" s="155">
        <f>COUNTIFS(Pemasukan!$D:$D, "&gt;="&amp;TEXT($K$30, "DD/MM/YYYY"), Pemasukan!$D:$D, "&lt;="&amp;TEXT($L$30, "DD/MM/YYYY"), Pemasukan!$F:$F, B45)</f>
        <v>13</v>
      </c>
      <c r="E45" s="149">
        <f>SUMIFS(Pemasukan!$J:$J, Pemasukan!$D:$D, "&gt;="&amp;TEXT($K$30, "DD/MM/YYYY"), Pemasukan!$D:$D, "&lt;="&amp;TEXT($L$30, "DD/MM/YYYY"), Pemasukan!$F:$F, B45)
</f>
        <v>5850000</v>
      </c>
      <c r="F45" s="156"/>
      <c r="G45" s="157"/>
      <c r="H45" s="152" t="str">
        <f>'⚙️Pengaturan'!F14</f>
        <v/>
      </c>
      <c r="I45" s="153"/>
      <c r="J45" s="155">
        <f>COUNTIFS(Pemasukan!$D:$D, "&gt;="&amp;TEXT($K$30, "DD/MM/YYYY"), Pemasukan!$D:$D, "&lt;="&amp;TEXT($L$30, "DD/MM/YYYY"), Pemasukan!$H:$H, H45)</f>
        <v>0</v>
      </c>
      <c r="K45" s="149">
        <f>SUMIFS(Pemasukan!$J:$J, Pemasukan!$D:$D, "&gt;="&amp;TEXT($K$30, "DD/MM/YYYY"), Pemasukan!$D:$D, "&lt;="&amp;TEXT($L$30, "DD/MM/YYYY"), Pemasukan!$H:$H, H45)</f>
        <v>0</v>
      </c>
      <c r="L45" s="156"/>
      <c r="M45" s="2"/>
    </row>
    <row r="46" ht="18.75" customHeight="1">
      <c r="A46" s="2"/>
      <c r="B46" s="152" t="str">
        <f>'⚙️Pengaturan'!C13</f>
        <v>Paket Terapi 2 </v>
      </c>
      <c r="C46" s="153"/>
      <c r="D46" s="155">
        <f>COUNTIFS(Pemasukan!$D:$D, "&gt;="&amp;TEXT($K$30, "DD/MM/YYYY"), Pemasukan!$D:$D, "&lt;="&amp;TEXT($L$30, "DD/MM/YYYY"), Pemasukan!$F:$F, B46)</f>
        <v>5</v>
      </c>
      <c r="E46" s="149">
        <f>SUMIFS(Pemasukan!$J:$J, Pemasukan!$D:$D, "&gt;="&amp;TEXT($K$30, "DD/MM/YYYY"), Pemasukan!$D:$D, "&lt;="&amp;TEXT($L$30, "DD/MM/YYYY"), Pemasukan!$F:$F, B46)
</f>
        <v>3600000</v>
      </c>
      <c r="F46" s="156"/>
      <c r="G46" s="157"/>
      <c r="H46" s="152" t="str">
        <f>'⚙️Pengaturan'!F15</f>
        <v/>
      </c>
      <c r="I46" s="153"/>
      <c r="J46" s="155">
        <f>COUNTIFS(Pemasukan!$D:$D, "&gt;="&amp;TEXT($K$30, "DD/MM/YYYY"), Pemasukan!$D:$D, "&lt;="&amp;TEXT($L$30, "DD/MM/YYYY"), Pemasukan!$H:$H, H46)</f>
        <v>0</v>
      </c>
      <c r="K46" s="149">
        <f>SUMIFS(Pemasukan!$J:$J, Pemasukan!$D:$D, "&gt;="&amp;TEXT($K$30, "DD/MM/YYYY"), Pemasukan!$D:$D, "&lt;="&amp;TEXT($L$30, "DD/MM/YYYY"), Pemasukan!$H:$H, H46)</f>
        <v>0</v>
      </c>
      <c r="L46" s="156"/>
      <c r="M46" s="2"/>
    </row>
    <row r="47" ht="18.75" customHeight="1">
      <c r="A47" s="2"/>
      <c r="B47" s="152" t="str">
        <f>'⚙️Pengaturan'!C14</f>
        <v>Sesi Terapi</v>
      </c>
      <c r="C47" s="153"/>
      <c r="D47" s="155">
        <f>COUNTIFS(Pemasukan!$D:$D, "&gt;="&amp;TEXT($K$30, "DD/MM/YYYY"), Pemasukan!$D:$D, "&lt;="&amp;TEXT($L$30, "DD/MM/YYYY"), Pemasukan!$F:$F, B47)</f>
        <v>10</v>
      </c>
      <c r="E47" s="149">
        <f>SUMIFS(Pemasukan!$J:$J, Pemasukan!$D:$D, "&gt;="&amp;TEXT($K$30, "DD/MM/YYYY"), Pemasukan!$D:$D, "&lt;="&amp;TEXT($L$30, "DD/MM/YYYY"), Pemasukan!$F:$F, B47)
</f>
        <v>1500000</v>
      </c>
      <c r="F47" s="156"/>
      <c r="G47" s="157"/>
      <c r="H47" s="152" t="str">
        <f>'⚙️Pengaturan'!F16</f>
        <v/>
      </c>
      <c r="I47" s="153"/>
      <c r="J47" s="155">
        <f>COUNTIFS(Pemasukan!$D:$D, "&gt;="&amp;TEXT($K$30, "DD/MM/YYYY"), Pemasukan!$D:$D, "&lt;="&amp;TEXT($L$30, "DD/MM/YYYY"), Pemasukan!$H:$H, H47)</f>
        <v>0</v>
      </c>
      <c r="K47" s="149">
        <f>SUMIFS(Pemasukan!$J:$J, Pemasukan!$D:$D, "&gt;="&amp;TEXT($K$30, "DD/MM/YYYY"), Pemasukan!$D:$D, "&lt;="&amp;TEXT($L$30, "DD/MM/YYYY"), Pemasukan!$H:$H, H47)</f>
        <v>0</v>
      </c>
      <c r="L47" s="156"/>
      <c r="M47" s="2"/>
    </row>
    <row r="48" ht="18.75" customHeight="1">
      <c r="A48" s="2"/>
      <c r="B48" s="152" t="str">
        <f>'⚙️Pengaturan'!C15</f>
        <v>Terapi Awal Homevisit</v>
      </c>
      <c r="C48" s="153"/>
      <c r="D48" s="155">
        <f>COUNTIFS(Pemasukan!$D:$D, "&gt;="&amp;TEXT($K$30, "DD/MM/YYYY"), Pemasukan!$D:$D, "&lt;="&amp;TEXT($L$30, "DD/MM/YYYY"), Pemasukan!$F:$F, B48)</f>
        <v>2</v>
      </c>
      <c r="E48" s="149">
        <f>SUMIFS(Pemasukan!$J:$J, Pemasukan!$D:$D, "&gt;="&amp;TEXT($K$30, "DD/MM/YYYY"), Pemasukan!$D:$D, "&lt;="&amp;TEXT($L$30, "DD/MM/YYYY"), Pemasukan!$F:$F, B48)
</f>
        <v>600000</v>
      </c>
      <c r="F48" s="156"/>
      <c r="G48" s="157"/>
      <c r="H48" s="152" t="str">
        <f>'⚙️Pengaturan'!F17</f>
        <v/>
      </c>
      <c r="I48" s="153"/>
      <c r="J48" s="155">
        <f>COUNTIFS(Pemasukan!$D:$D, "&gt;="&amp;TEXT($K$30, "DD/MM/YYYY"), Pemasukan!$D:$D, "&lt;="&amp;TEXT($L$30, "DD/MM/YYYY"), Pemasukan!$H:$H, H48)</f>
        <v>0</v>
      </c>
      <c r="K48" s="149">
        <f>SUMIFS(Pemasukan!$J:$J, Pemasukan!$D:$D, "&gt;="&amp;TEXT($K$30, "DD/MM/YYYY"), Pemasukan!$D:$D, "&lt;="&amp;TEXT($L$30, "DD/MM/YYYY"), Pemasukan!$H:$H, H48)</f>
        <v>0</v>
      </c>
      <c r="L48" s="156"/>
      <c r="M48" s="2"/>
    </row>
    <row r="49" ht="18.75" customHeight="1">
      <c r="A49" s="2"/>
      <c r="B49" s="152" t="str">
        <f>'⚙️Pengaturan'!C20</f>
        <v>Paket Terapi Homevisit+ Jarak</v>
      </c>
      <c r="C49" s="153"/>
      <c r="D49" s="155">
        <f>COUNTIFS(Pemasukan!$D:$D, "&gt;="&amp;TEXT($K$30, "DD/MM/YYYY"), Pemasukan!$D:$D, "&lt;="&amp;TEXT($L$30, "DD/MM/YYYY"), Pemasukan!$F:$F, B49)</f>
        <v>0</v>
      </c>
      <c r="E49" s="149">
        <f>SUMIFS(Pemasukan!$J:$J, Pemasukan!$D:$D, "&gt;="&amp;TEXT($K$30, "DD/MM/YYYY"), Pemasukan!$D:$D, "&lt;="&amp;TEXT($L$30, "DD/MM/YYYY"), Pemasukan!$F:$F, B49)
</f>
        <v>0</v>
      </c>
      <c r="F49" s="156"/>
      <c r="G49" s="157"/>
      <c r="H49" s="152" t="str">
        <f>'⚙️Pengaturan'!F18</f>
        <v/>
      </c>
      <c r="I49" s="153"/>
      <c r="J49" s="155">
        <f>COUNTIFS(Pemasukan!$D:$D, "&gt;="&amp;TEXT($K$30, "DD/MM/YYYY"), Pemasukan!$D:$D, "&lt;="&amp;TEXT($L$30, "DD/MM/YYYY"), Pemasukan!$H:$H, H49)</f>
        <v>0</v>
      </c>
      <c r="K49" s="149">
        <f>SUMIFS(Pemasukan!$J:$J, Pemasukan!$D:$D, "&gt;="&amp;TEXT($K$30, "DD/MM/YYYY"), Pemasukan!$D:$D, "&lt;="&amp;TEXT($L$30, "DD/MM/YYYY"), Pemasukan!$H:$H, H49)</f>
        <v>0</v>
      </c>
      <c r="L49" s="156"/>
      <c r="M49" s="2"/>
    </row>
    <row r="50" ht="18.75" customHeight="1">
      <c r="A50" s="2"/>
      <c r="B50" s="152" t="str">
        <f>'⚙️Pengaturan'!C21</f>
        <v/>
      </c>
      <c r="C50" s="153"/>
      <c r="D50" s="155">
        <f>COUNTIFS(Pemasukan!$D:$D, "&gt;="&amp;TEXT($K$30, "DD/MM/YYYY"), Pemasukan!$D:$D, "&lt;="&amp;TEXT($L$30, "DD/MM/YYYY"), Pemasukan!$F:$F, B50)</f>
        <v>0</v>
      </c>
      <c r="E50" s="149">
        <f>SUMIFS(Pemasukan!$J:$J, Pemasukan!$D:$D, "&gt;="&amp;TEXT($K$30, "DD/MM/YYYY"), Pemasukan!$D:$D, "&lt;="&amp;TEXT($L$30, "DD/MM/YYYY"), Pemasukan!$F:$F, B50)
</f>
        <v>0</v>
      </c>
      <c r="F50" s="156"/>
      <c r="G50" s="157"/>
      <c r="H50" s="152" t="str">
        <f>'⚙️Pengaturan'!F19</f>
        <v/>
      </c>
      <c r="I50" s="153"/>
      <c r="J50" s="155">
        <f>COUNTIFS(Pemasukan!$D:$D, "&gt;="&amp;TEXT($K$30, "DD/MM/YYYY"), Pemasukan!$D:$D, "&lt;="&amp;TEXT($L$30, "DD/MM/YYYY"), Pemasukan!$H:$H, H50)</f>
        <v>0</v>
      </c>
      <c r="K50" s="149">
        <f>SUMIFS(Pemasukan!$J:$J, Pemasukan!$D:$D, "&gt;="&amp;TEXT($K$30, "DD/MM/YYYY"), Pemasukan!$D:$D, "&lt;="&amp;TEXT($L$30, "DD/MM/YYYY"), Pemasukan!$H:$H, H50)</f>
        <v>0</v>
      </c>
      <c r="L50" s="156"/>
      <c r="M50" s="2"/>
    </row>
    <row r="51" ht="18.75" customHeight="1">
      <c r="A51" s="2"/>
      <c r="B51" s="159" t="str">
        <f>#REF!</f>
        <v>#REF!</v>
      </c>
      <c r="C51" s="160"/>
      <c r="D51" s="161">
        <f>COUNTIFS(Pemasukan!$D:$D, "&gt;="&amp;TEXT($K$30, "DD/MM/YYYY"), Pemasukan!$D:$D, "&lt;="&amp;TEXT($L$30, "DD/MM/YYYY"), Pemasukan!$F:$F, B51)</f>
        <v>0</v>
      </c>
      <c r="E51" s="149">
        <f>SUMIFS(Pemasukan!$J:$J, Pemasukan!$D:$D, "&gt;="&amp;TEXT($K$30, "DD/MM/YYYY"), Pemasukan!$D:$D, "&lt;="&amp;TEXT($L$30, "DD/MM/YYYY"), Pemasukan!$F:$F, B51)
</f>
        <v>0</v>
      </c>
      <c r="F51" s="162"/>
      <c r="G51" s="157"/>
      <c r="H51" s="159" t="str">
        <f>'⚙️Pengaturan'!F20</f>
        <v/>
      </c>
      <c r="I51" s="160"/>
      <c r="J51" s="161">
        <f>COUNTIFS(Pemasukan!$D:$D, "&gt;="&amp;TEXT($K$30, "DD/MM/YYYY"), Pemasukan!$D:$D, "&lt;="&amp;TEXT($L$30, "DD/MM/YYYY"), Pemasukan!$H:$H, H51)</f>
        <v>0</v>
      </c>
      <c r="K51" s="149">
        <f>SUMIFS(Pemasukan!$J:$J, Pemasukan!$D:$D, "&gt;="&amp;TEXT($K$30, "DD/MM/YYYY"), Pemasukan!$D:$D, "&lt;="&amp;TEXT($L$30, "DD/MM/YYYY"), Pemasukan!$H:$H, H51)</f>
        <v>0</v>
      </c>
      <c r="L51" s="162"/>
      <c r="M51" s="2"/>
    </row>
    <row r="52" ht="18.75" customHeight="1">
      <c r="A52" s="2"/>
      <c r="B52" s="163"/>
      <c r="C52" s="163"/>
      <c r="D52" s="163"/>
      <c r="E52" s="157"/>
      <c r="F52" s="157"/>
      <c r="G52" s="157"/>
      <c r="H52" s="163"/>
      <c r="I52" s="163"/>
      <c r="J52" s="163"/>
      <c r="K52" s="157"/>
      <c r="L52" s="157"/>
      <c r="M52" s="2"/>
    </row>
    <row r="53" ht="18.75" customHeight="1">
      <c r="A53" s="2"/>
      <c r="B53" s="163" t="str">
        <f>'⚙️Pengaturan'!C21</f>
        <v/>
      </c>
      <c r="E53" s="157"/>
      <c r="F53" s="157"/>
      <c r="G53" s="157"/>
      <c r="H53" s="163"/>
      <c r="K53" s="157"/>
      <c r="L53" s="157"/>
      <c r="M53" s="2"/>
    </row>
  </sheetData>
  <mergeCells count="55">
    <mergeCell ref="H48:I48"/>
    <mergeCell ref="H49:I49"/>
    <mergeCell ref="H41:I41"/>
    <mergeCell ref="H42:I42"/>
    <mergeCell ref="H43:I43"/>
    <mergeCell ref="H44:I44"/>
    <mergeCell ref="H45:I45"/>
    <mergeCell ref="H46:I46"/>
    <mergeCell ref="H47:I47"/>
    <mergeCell ref="B2:I3"/>
    <mergeCell ref="K3:L3"/>
    <mergeCell ref="E5:I5"/>
    <mergeCell ref="K5:L5"/>
    <mergeCell ref="E7:F7"/>
    <mergeCell ref="H7:I7"/>
    <mergeCell ref="K7:L7"/>
    <mergeCell ref="B7:C7"/>
    <mergeCell ref="B8:C9"/>
    <mergeCell ref="E8:F9"/>
    <mergeCell ref="H8:I9"/>
    <mergeCell ref="K8:L9"/>
    <mergeCell ref="E29:I30"/>
    <mergeCell ref="H32:J32"/>
    <mergeCell ref="H35:I35"/>
    <mergeCell ref="H36:I36"/>
    <mergeCell ref="B32:D32"/>
    <mergeCell ref="B33:C33"/>
    <mergeCell ref="H33:I33"/>
    <mergeCell ref="B34:C34"/>
    <mergeCell ref="H34:I34"/>
    <mergeCell ref="B35:C35"/>
    <mergeCell ref="B36:C36"/>
    <mergeCell ref="B37:C37"/>
    <mergeCell ref="H37:I37"/>
    <mergeCell ref="B38:C38"/>
    <mergeCell ref="H38:I38"/>
    <mergeCell ref="B39:C39"/>
    <mergeCell ref="H39:I39"/>
    <mergeCell ref="H40:I40"/>
    <mergeCell ref="B40:C40"/>
    <mergeCell ref="B41:C41"/>
    <mergeCell ref="B42:C42"/>
    <mergeCell ref="B43:C43"/>
    <mergeCell ref="B44:C44"/>
    <mergeCell ref="B45:C45"/>
    <mergeCell ref="B46:C46"/>
    <mergeCell ref="B53:D53"/>
    <mergeCell ref="H53:J53"/>
    <mergeCell ref="B47:C47"/>
    <mergeCell ref="B48:C48"/>
    <mergeCell ref="B49:C49"/>
    <mergeCell ref="B50:C50"/>
    <mergeCell ref="H50:I50"/>
    <mergeCell ref="B51:C51"/>
    <mergeCell ref="H51:I51"/>
  </mergeCells>
  <dataValidations>
    <dataValidation type="list" allowBlank="1" showErrorMessage="1" sqref="K3">
      <formula1>"Januari,Februari,Maret,April,Mei,Juni,Juli,Agustus,September,Oktober,November,Desember"</formula1>
    </dataValidation>
  </dataValidation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499BA"/>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2.0"/>
    <col customWidth="1" min="2" max="2" width="28.38"/>
    <col customWidth="1" min="3" max="14" width="14.5"/>
    <col customWidth="1" min="15" max="15" width="2.0"/>
  </cols>
  <sheetData>
    <row r="1" ht="11.25" customHeight="1">
      <c r="A1" s="87"/>
      <c r="B1" s="87"/>
      <c r="C1" s="88"/>
      <c r="D1" s="88"/>
      <c r="E1" s="88"/>
      <c r="F1" s="88"/>
      <c r="G1" s="88"/>
      <c r="H1" s="88"/>
      <c r="I1" s="88"/>
      <c r="J1" s="88"/>
      <c r="K1" s="88"/>
      <c r="L1" s="88"/>
      <c r="M1" s="88"/>
      <c r="N1" s="88"/>
      <c r="O1" s="87"/>
    </row>
    <row r="2" ht="30.0" customHeight="1">
      <c r="A2" s="89"/>
      <c r="B2" s="90" t="s">
        <v>72</v>
      </c>
      <c r="C2" s="91" t="s">
        <v>74</v>
      </c>
      <c r="D2" s="91" t="s">
        <v>75</v>
      </c>
      <c r="E2" s="91" t="s">
        <v>76</v>
      </c>
      <c r="F2" s="91" t="s">
        <v>77</v>
      </c>
      <c r="G2" s="91" t="s">
        <v>78</v>
      </c>
      <c r="H2" s="91" t="s">
        <v>79</v>
      </c>
      <c r="I2" s="91" t="s">
        <v>80</v>
      </c>
      <c r="J2" s="91" t="s">
        <v>81</v>
      </c>
      <c r="K2" s="91" t="s">
        <v>82</v>
      </c>
      <c r="L2" s="91" t="s">
        <v>83</v>
      </c>
      <c r="M2" s="91" t="s">
        <v>84</v>
      </c>
      <c r="N2" s="92" t="s">
        <v>85</v>
      </c>
      <c r="O2" s="89"/>
    </row>
    <row r="3" ht="7.5" customHeight="1">
      <c r="A3" s="87"/>
      <c r="B3" s="87"/>
      <c r="C3" s="88"/>
      <c r="D3" s="87"/>
      <c r="E3" s="87"/>
      <c r="F3" s="87"/>
      <c r="G3" s="87"/>
      <c r="H3" s="87"/>
      <c r="I3" s="87"/>
      <c r="J3" s="87"/>
      <c r="K3" s="87"/>
      <c r="L3" s="87"/>
      <c r="M3" s="87"/>
      <c r="N3" s="87"/>
      <c r="O3" s="87"/>
    </row>
    <row r="4" ht="22.5" customHeight="1">
      <c r="A4" s="93"/>
      <c r="B4" s="94" t="s">
        <v>87</v>
      </c>
      <c r="C4" s="95"/>
      <c r="D4" s="95"/>
      <c r="E4" s="95"/>
      <c r="F4" s="95"/>
      <c r="G4" s="95"/>
      <c r="H4" s="95"/>
      <c r="I4" s="95"/>
      <c r="J4" s="95"/>
      <c r="K4" s="95"/>
      <c r="L4" s="95"/>
      <c r="M4" s="95"/>
      <c r="N4" s="96"/>
      <c r="O4" s="87"/>
    </row>
    <row r="5" ht="26.25" customHeight="1">
      <c r="A5" s="97"/>
      <c r="B5" s="98" t="s">
        <v>16</v>
      </c>
      <c r="C5" s="99"/>
      <c r="D5" s="99">
        <f t="shared" ref="D5:N5" si="1">C55</f>
        <v>27445585</v>
      </c>
      <c r="E5" s="99">
        <f t="shared" si="1"/>
        <v>14150000</v>
      </c>
      <c r="F5" s="99">
        <f t="shared" si="1"/>
        <v>16200000</v>
      </c>
      <c r="G5" s="99">
        <f t="shared" si="1"/>
        <v>11644099</v>
      </c>
      <c r="H5" s="99">
        <f t="shared" si="1"/>
        <v>12609182</v>
      </c>
      <c r="I5" s="99">
        <f t="shared" si="1"/>
        <v>9377598</v>
      </c>
      <c r="J5" s="99">
        <f t="shared" si="1"/>
        <v>22056737</v>
      </c>
      <c r="K5" s="99">
        <f t="shared" si="1"/>
        <v>21166975</v>
      </c>
      <c r="L5" s="99">
        <f t="shared" si="1"/>
        <v>16802525</v>
      </c>
      <c r="M5" s="99">
        <f t="shared" si="1"/>
        <v>20271839</v>
      </c>
      <c r="N5" s="99">
        <f t="shared" si="1"/>
        <v>9252167</v>
      </c>
      <c r="O5" s="87"/>
    </row>
    <row r="6" ht="7.5" customHeight="1">
      <c r="A6" s="87"/>
      <c r="B6" s="87"/>
      <c r="C6" s="88"/>
      <c r="D6" s="87"/>
      <c r="E6" s="87"/>
      <c r="F6" s="87"/>
      <c r="G6" s="87"/>
      <c r="H6" s="87"/>
      <c r="I6" s="87"/>
      <c r="J6" s="87"/>
      <c r="K6" s="87"/>
      <c r="L6" s="87"/>
      <c r="M6" s="87"/>
      <c r="N6" s="87"/>
      <c r="O6" s="87"/>
    </row>
    <row r="7" ht="22.5" customHeight="1">
      <c r="A7" s="93"/>
      <c r="B7" s="100" t="s">
        <v>95</v>
      </c>
      <c r="C7" s="95"/>
      <c r="D7" s="95"/>
      <c r="E7" s="95"/>
      <c r="F7" s="95"/>
      <c r="G7" s="95"/>
      <c r="H7" s="95"/>
      <c r="I7" s="95"/>
      <c r="J7" s="95"/>
      <c r="K7" s="95"/>
      <c r="L7" s="95"/>
      <c r="M7" s="95"/>
      <c r="N7" s="96"/>
      <c r="O7" s="87"/>
    </row>
    <row r="8" ht="18.75" customHeight="1">
      <c r="A8" s="87"/>
      <c r="B8" s="101" t="str">
        <f>'⚙️Pengaturan'!C3</f>
        <v>New Paket Terapi 1  </v>
      </c>
      <c r="C8" s="102">
        <f>SUMPRODUCT(Pemasukan!$J:$J,Text(Pemasukan!$D:$D,"mmmm")=C$2,Pemasukan!$F:$F=$B8)</f>
        <v>750000</v>
      </c>
      <c r="D8" s="102">
        <f>SUMPRODUCT(Pemasukan!$J:$J,Text(Pemasukan!$D:$D,"mmmm")=D$2,Pemasukan!$F:$F=$B8)</f>
        <v>0</v>
      </c>
      <c r="E8" s="102">
        <f>SUMPRODUCT(Pemasukan!$J:$J,Text(Pemasukan!$D:$D,"mmmm")=E$2,Pemasukan!$F:$F=$B8)</f>
        <v>0</v>
      </c>
      <c r="F8" s="102">
        <f>SUMPRODUCT(Pemasukan!$J:$J,Text(Pemasukan!$D:$D,"mmmm")=F$2,Pemasukan!$F:$F=$B8)</f>
        <v>0</v>
      </c>
      <c r="G8" s="102">
        <f>SUMPRODUCT(Pemasukan!$J:$J,Text(Pemasukan!$D:$D,"mmmm")=G$2,Pemasukan!$F:$F=$B8)</f>
        <v>0</v>
      </c>
      <c r="H8" s="102">
        <f>SUMPRODUCT(Pemasukan!$J:$J,Text(Pemasukan!$D:$D,"mmmm")=H$2,Pemasukan!$F:$F=$B8)</f>
        <v>0</v>
      </c>
      <c r="I8" s="102">
        <f>SUMPRODUCT(Pemasukan!$J:$J,Text(Pemasukan!$D:$D,"mmmm")=I$2,Pemasukan!$F:$F=$B8)</f>
        <v>2550000</v>
      </c>
      <c r="J8" s="102">
        <f>SUMPRODUCT(Pemasukan!$J:$J,Text(Pemasukan!$D:$D,"mmmm")=J$2,Pemasukan!$F:$F=$B8)</f>
        <v>12450000</v>
      </c>
      <c r="K8" s="102">
        <f>SUMPRODUCT(Pemasukan!$J:$J,Text(Pemasukan!$D:$D,"mmmm")=K$2,Pemasukan!$F:$F=$B8)</f>
        <v>11580000</v>
      </c>
      <c r="L8" s="102">
        <f>SUMPRODUCT(Pemasukan!$J:$J,Text(Pemasukan!$D:$D,"mmmm")=L$2,Pemasukan!$F:$F=$B8)</f>
        <v>14600000</v>
      </c>
      <c r="M8" s="102">
        <f>SUMPRODUCT(Pemasukan!$J:$J,Text(Pemasukan!$D:$D,"mmmm")=M$2,Pemasukan!$F:$F=$B8)</f>
        <v>7100000</v>
      </c>
      <c r="N8" s="102">
        <f>SUMPRODUCT(Pemasukan!$J:$J,Text(Pemasukan!$D:$D,"mmmm")=N$2,Pemasukan!$F:$F=$B8)</f>
        <v>8810000</v>
      </c>
      <c r="O8" s="87"/>
    </row>
    <row r="9" ht="18.75" customHeight="1">
      <c r="A9" s="87"/>
      <c r="B9" s="101" t="str">
        <f>'⚙️Pengaturan'!C4</f>
        <v>New Paket Terapi 2 </v>
      </c>
      <c r="C9" s="102">
        <f>SUMPRODUCT(Pemasukan!$J:$J,Text(Pemasukan!$D:$D,"mmmm")=C$2,Pemasukan!$F:$F=$B9)</f>
        <v>2800000</v>
      </c>
      <c r="D9" s="102">
        <f>SUMPRODUCT(Pemasukan!$J:$J,Text(Pemasukan!$D:$D,"mmmm")=D$2,Pemasukan!$F:$F=$B9)</f>
        <v>0</v>
      </c>
      <c r="E9" s="102">
        <f>SUMPRODUCT(Pemasukan!$J:$J,Text(Pemasukan!$D:$D,"mmmm")=E$2,Pemasukan!$F:$F=$B9)</f>
        <v>0</v>
      </c>
      <c r="F9" s="102">
        <f>SUMPRODUCT(Pemasukan!$J:$J,Text(Pemasukan!$D:$D,"mmmm")=F$2,Pemasukan!$F:$F=$B9)</f>
        <v>0</v>
      </c>
      <c r="G9" s="102">
        <f>SUMPRODUCT(Pemasukan!$J:$J,Text(Pemasukan!$D:$D,"mmmm")=G$2,Pemasukan!$F:$F=$B9)</f>
        <v>0</v>
      </c>
      <c r="H9" s="102">
        <f>SUMPRODUCT(Pemasukan!$J:$J,Text(Pemasukan!$D:$D,"mmmm")=H$2,Pemasukan!$F:$F=$B9)</f>
        <v>0</v>
      </c>
      <c r="I9" s="102">
        <f>SUMPRODUCT(Pemasukan!$J:$J,Text(Pemasukan!$D:$D,"mmmm")=I$2,Pemasukan!$F:$F=$B9)</f>
        <v>0</v>
      </c>
      <c r="J9" s="102">
        <f>SUMPRODUCT(Pemasukan!$J:$J,Text(Pemasukan!$D:$D,"mmmm")=J$2,Pemasukan!$F:$F=$B9)</f>
        <v>0</v>
      </c>
      <c r="K9" s="102">
        <f>SUMPRODUCT(Pemasukan!$J:$J,Text(Pemasukan!$D:$D,"mmmm")=K$2,Pemasukan!$F:$F=$B9)</f>
        <v>3100000</v>
      </c>
      <c r="L9" s="102">
        <f>SUMPRODUCT(Pemasukan!$J:$J,Text(Pemasukan!$D:$D,"mmmm")=L$2,Pemasukan!$F:$F=$B9)</f>
        <v>3900000</v>
      </c>
      <c r="M9" s="102">
        <f>SUMPRODUCT(Pemasukan!$J:$J,Text(Pemasukan!$D:$D,"mmmm")=M$2,Pemasukan!$F:$F=$B9)</f>
        <v>2800000</v>
      </c>
      <c r="N9" s="102">
        <f>SUMPRODUCT(Pemasukan!$J:$J,Text(Pemasukan!$D:$D,"mmmm")=N$2,Pemasukan!$F:$F=$B9)</f>
        <v>2660000</v>
      </c>
      <c r="O9" s="87"/>
    </row>
    <row r="10" ht="18.75" customHeight="1">
      <c r="A10" s="87"/>
      <c r="B10" s="101" t="str">
        <f>'⚙️Pengaturan'!C5</f>
        <v>New Paket Terapi 3</v>
      </c>
      <c r="C10" s="102">
        <f>SUMPRODUCT(Pemasukan!$J:$J,Text(Pemasukan!$D:$D,"mmmm")=C$2,Pemasukan!$F:$F=$B10)</f>
        <v>1300000</v>
      </c>
      <c r="D10" s="102">
        <f>SUMPRODUCT(Pemasukan!$J:$J,Text(Pemasukan!$D:$D,"mmmm")=D$2,Pemasukan!$F:$F=$B10)</f>
        <v>0</v>
      </c>
      <c r="E10" s="102">
        <f>SUMPRODUCT(Pemasukan!$J:$J,Text(Pemasukan!$D:$D,"mmmm")=E$2,Pemasukan!$F:$F=$B10)</f>
        <v>0</v>
      </c>
      <c r="F10" s="102">
        <f>SUMPRODUCT(Pemasukan!$J:$J,Text(Pemasukan!$D:$D,"mmmm")=F$2,Pemasukan!$F:$F=$B10)</f>
        <v>0</v>
      </c>
      <c r="G10" s="102">
        <f>SUMPRODUCT(Pemasukan!$J:$J,Text(Pemasukan!$D:$D,"mmmm")=G$2,Pemasukan!$F:$F=$B10)</f>
        <v>0</v>
      </c>
      <c r="H10" s="102">
        <f>SUMPRODUCT(Pemasukan!$J:$J,Text(Pemasukan!$D:$D,"mmmm")=H$2,Pemasukan!$F:$F=$B10)</f>
        <v>0</v>
      </c>
      <c r="I10" s="102">
        <f>SUMPRODUCT(Pemasukan!$J:$J,Text(Pemasukan!$D:$D,"mmmm")=I$2,Pemasukan!$F:$F=$B10)</f>
        <v>300000</v>
      </c>
      <c r="J10" s="102">
        <f>SUMPRODUCT(Pemasukan!$J:$J,Text(Pemasukan!$D:$D,"mmmm")=J$2,Pemasukan!$F:$F=$B10)</f>
        <v>4900000</v>
      </c>
      <c r="K10" s="102">
        <f>SUMPRODUCT(Pemasukan!$J:$J,Text(Pemasukan!$D:$D,"mmmm")=K$2,Pemasukan!$F:$F=$B10)</f>
        <v>0</v>
      </c>
      <c r="L10" s="102">
        <f>SUMPRODUCT(Pemasukan!$J:$J,Text(Pemasukan!$D:$D,"mmmm")=L$2,Pemasukan!$F:$F=$B10)</f>
        <v>1300000</v>
      </c>
      <c r="M10" s="102">
        <f>SUMPRODUCT(Pemasukan!$J:$J,Text(Pemasukan!$D:$D,"mmmm")=M$2,Pemasukan!$F:$F=$B10)</f>
        <v>0</v>
      </c>
      <c r="N10" s="102">
        <f>SUMPRODUCT(Pemasukan!$J:$J,Text(Pemasukan!$D:$D,"mmmm")=N$2,Pemasukan!$F:$F=$B10)</f>
        <v>0</v>
      </c>
      <c r="O10" s="87"/>
    </row>
    <row r="11" ht="18.75" customHeight="1">
      <c r="A11" s="87"/>
      <c r="B11" s="101" t="str">
        <f>'⚙️Pengaturan'!C6</f>
        <v>New Sesi Terapi</v>
      </c>
      <c r="C11" s="102">
        <f>SUMPRODUCT(Pemasukan!$J:$J,Text(Pemasukan!$D:$D,"mmmm")=C$2,Pemasukan!$F:$F=$B11)</f>
        <v>2905000</v>
      </c>
      <c r="D11" s="102">
        <f>SUMPRODUCT(Pemasukan!$J:$J,Text(Pemasukan!$D:$D,"mmmm")=D$2,Pemasukan!$F:$F=$B11)</f>
        <v>0</v>
      </c>
      <c r="E11" s="102">
        <f>SUMPRODUCT(Pemasukan!$J:$J,Text(Pemasukan!$D:$D,"mmmm")=E$2,Pemasukan!$F:$F=$B11)</f>
        <v>0</v>
      </c>
      <c r="F11" s="102">
        <f>SUMPRODUCT(Pemasukan!$J:$J,Text(Pemasukan!$D:$D,"mmmm")=F$2,Pemasukan!$F:$F=$B11)</f>
        <v>0</v>
      </c>
      <c r="G11" s="102">
        <f>SUMPRODUCT(Pemasukan!$J:$J,Text(Pemasukan!$D:$D,"mmmm")=G$2,Pemasukan!$F:$F=$B11)</f>
        <v>0</v>
      </c>
      <c r="H11" s="102">
        <f>SUMPRODUCT(Pemasukan!$J:$J,Text(Pemasukan!$D:$D,"mmmm")=H$2,Pemasukan!$F:$F=$B11)</f>
        <v>0</v>
      </c>
      <c r="I11" s="102">
        <f>SUMPRODUCT(Pemasukan!$J:$J,Text(Pemasukan!$D:$D,"mmmm")=I$2,Pemasukan!$F:$F=$B11)</f>
        <v>2940000</v>
      </c>
      <c r="J11" s="102">
        <f>SUMPRODUCT(Pemasukan!$J:$J,Text(Pemasukan!$D:$D,"mmmm")=J$2,Pemasukan!$F:$F=$B11)</f>
        <v>7115000</v>
      </c>
      <c r="K11" s="102">
        <f>SUMPRODUCT(Pemasukan!$J:$J,Text(Pemasukan!$D:$D,"mmmm")=K$2,Pemasukan!$F:$F=$B11)</f>
        <v>5950000</v>
      </c>
      <c r="L11" s="102">
        <f>SUMPRODUCT(Pemasukan!$J:$J,Text(Pemasukan!$D:$D,"mmmm")=L$2,Pemasukan!$F:$F=$B11)</f>
        <v>7350000</v>
      </c>
      <c r="M11" s="102">
        <f>SUMPRODUCT(Pemasukan!$J:$J,Text(Pemasukan!$D:$D,"mmmm")=M$2,Pemasukan!$F:$F=$B11)</f>
        <v>7175000</v>
      </c>
      <c r="N11" s="102">
        <f>SUMPRODUCT(Pemasukan!$J:$J,Text(Pemasukan!$D:$D,"mmmm")=N$2,Pemasukan!$F:$F=$B11)</f>
        <v>6230000</v>
      </c>
      <c r="O11" s="87"/>
    </row>
    <row r="12" ht="18.75" customHeight="1">
      <c r="A12" s="87"/>
      <c r="B12" s="101" t="str">
        <f>'⚙️Pengaturan'!C7</f>
        <v>New Sesi terapi Homevisit</v>
      </c>
      <c r="C12" s="102">
        <f>SUMPRODUCT(Pemasukan!$J:$J,Text(Pemasukan!$D:$D,"mmmm")=C$2,Pemasukan!$F:$F=$B12)</f>
        <v>1350000</v>
      </c>
      <c r="D12" s="102">
        <f>SUMPRODUCT(Pemasukan!$J:$J,Text(Pemasukan!$D:$D,"mmmm")=D$2,Pemasukan!$F:$F=$B12)</f>
        <v>0</v>
      </c>
      <c r="E12" s="102">
        <f>SUMPRODUCT(Pemasukan!$J:$J,Text(Pemasukan!$D:$D,"mmmm")=E$2,Pemasukan!$F:$F=$B12)</f>
        <v>0</v>
      </c>
      <c r="F12" s="102">
        <f>SUMPRODUCT(Pemasukan!$J:$J,Text(Pemasukan!$D:$D,"mmmm")=F$2,Pemasukan!$F:$F=$B12)</f>
        <v>0</v>
      </c>
      <c r="G12" s="102">
        <f>SUMPRODUCT(Pemasukan!$J:$J,Text(Pemasukan!$D:$D,"mmmm")=G$2,Pemasukan!$F:$F=$B12)</f>
        <v>0</v>
      </c>
      <c r="H12" s="102">
        <f>SUMPRODUCT(Pemasukan!$J:$J,Text(Pemasukan!$D:$D,"mmmm")=H$2,Pemasukan!$F:$F=$B12)</f>
        <v>0</v>
      </c>
      <c r="I12" s="102">
        <f>SUMPRODUCT(Pemasukan!$J:$J,Text(Pemasukan!$D:$D,"mmmm")=I$2,Pemasukan!$F:$F=$B12)</f>
        <v>0</v>
      </c>
      <c r="J12" s="102">
        <f>SUMPRODUCT(Pemasukan!$J:$J,Text(Pemasukan!$D:$D,"mmmm")=J$2,Pemasukan!$F:$F=$B12)</f>
        <v>900000</v>
      </c>
      <c r="K12" s="102">
        <f>SUMPRODUCT(Pemasukan!$J:$J,Text(Pemasukan!$D:$D,"mmmm")=K$2,Pemasukan!$F:$F=$B12)</f>
        <v>0</v>
      </c>
      <c r="L12" s="102">
        <f>SUMPRODUCT(Pemasukan!$J:$J,Text(Pemasukan!$D:$D,"mmmm")=L$2,Pemasukan!$F:$F=$B12)</f>
        <v>450000</v>
      </c>
      <c r="M12" s="102">
        <f>SUMPRODUCT(Pemasukan!$J:$J,Text(Pemasukan!$D:$D,"mmmm")=M$2,Pemasukan!$F:$F=$B12)</f>
        <v>0</v>
      </c>
      <c r="N12" s="102">
        <f>SUMPRODUCT(Pemasukan!$J:$J,Text(Pemasukan!$D:$D,"mmmm")=N$2,Pemasukan!$F:$F=$B12)</f>
        <v>1125000</v>
      </c>
      <c r="O12" s="87"/>
    </row>
    <row r="13" ht="18.75" customHeight="1">
      <c r="A13" s="87"/>
      <c r="B13" s="101" t="str">
        <f>'⚙️Pengaturan'!C8</f>
        <v>New Sesi terapi Homevisit + Jarak</v>
      </c>
      <c r="C13" s="102">
        <f>SUMPRODUCT(Pemasukan!$J:$J,Text(Pemasukan!$D:$D,"mmmm")=C$2,Pemasukan!$F:$F=$B13)</f>
        <v>0</v>
      </c>
      <c r="D13" s="102">
        <f>SUMPRODUCT(Pemasukan!$J:$J,Text(Pemasukan!$D:$D,"mmmm")=D$2,Pemasukan!$F:$F=$B13)</f>
        <v>0</v>
      </c>
      <c r="E13" s="102">
        <f>SUMPRODUCT(Pemasukan!$J:$J,Text(Pemasukan!$D:$D,"mmmm")=E$2,Pemasukan!$F:$F=$B13)</f>
        <v>0</v>
      </c>
      <c r="F13" s="102">
        <f>SUMPRODUCT(Pemasukan!$J:$J,Text(Pemasukan!$D:$D,"mmmm")=F$2,Pemasukan!$F:$F=$B13)</f>
        <v>0</v>
      </c>
      <c r="G13" s="102">
        <f>SUMPRODUCT(Pemasukan!$J:$J,Text(Pemasukan!$D:$D,"mmmm")=G$2,Pemasukan!$F:$F=$B13)</f>
        <v>0</v>
      </c>
      <c r="H13" s="102">
        <f>SUMPRODUCT(Pemasukan!$J:$J,Text(Pemasukan!$D:$D,"mmmm")=H$2,Pemasukan!$F:$F=$B13)</f>
        <v>0</v>
      </c>
      <c r="I13" s="102">
        <f>SUMPRODUCT(Pemasukan!$J:$J,Text(Pemasukan!$D:$D,"mmmm")=I$2,Pemasukan!$F:$F=$B13)</f>
        <v>0</v>
      </c>
      <c r="J13" s="102">
        <f>SUMPRODUCT(Pemasukan!$J:$J,Text(Pemasukan!$D:$D,"mmmm")=J$2,Pemasukan!$F:$F=$B13)</f>
        <v>0</v>
      </c>
      <c r="K13" s="102">
        <f>SUMPRODUCT(Pemasukan!$J:$J,Text(Pemasukan!$D:$D,"mmmm")=K$2,Pemasukan!$F:$F=$B13)</f>
        <v>275000</v>
      </c>
      <c r="L13" s="102">
        <f>SUMPRODUCT(Pemasukan!$J:$J,Text(Pemasukan!$D:$D,"mmmm")=L$2,Pemasukan!$F:$F=$B13)</f>
        <v>275000</v>
      </c>
      <c r="M13" s="102">
        <f>SUMPRODUCT(Pemasukan!$J:$J,Text(Pemasukan!$D:$D,"mmmm")=M$2,Pemasukan!$F:$F=$B13)</f>
        <v>0</v>
      </c>
      <c r="N13" s="102">
        <f>SUMPRODUCT(Pemasukan!$J:$J,Text(Pemasukan!$D:$D,"mmmm")=N$2,Pemasukan!$F:$F=$B13)</f>
        <v>0</v>
      </c>
      <c r="O13" s="87"/>
    </row>
    <row r="14" ht="18.75" customHeight="1">
      <c r="A14" s="87"/>
      <c r="B14" s="101" t="str">
        <f>'⚙️Pengaturan'!C9</f>
        <v>New Paket Terapi Homevisit</v>
      </c>
      <c r="C14" s="102">
        <f>SUMPRODUCT(Pemasukan!$J:$J,Text(Pemasukan!$D:$D,"mmmm")=C$2,Pemasukan!$F:$F=$B14)</f>
        <v>0</v>
      </c>
      <c r="D14" s="102">
        <f>SUMPRODUCT(Pemasukan!$J:$J,Text(Pemasukan!$D:$D,"mmmm")=D$2,Pemasukan!$F:$F=$B14)</f>
        <v>0</v>
      </c>
      <c r="E14" s="102">
        <f>SUMPRODUCT(Pemasukan!$J:$J,Text(Pemasukan!$D:$D,"mmmm")=E$2,Pemasukan!$F:$F=$B14)</f>
        <v>0</v>
      </c>
      <c r="F14" s="102">
        <f>SUMPRODUCT(Pemasukan!$J:$J,Text(Pemasukan!$D:$D,"mmmm")=F$2,Pemasukan!$F:$F=$B14)</f>
        <v>0</v>
      </c>
      <c r="G14" s="102">
        <f>SUMPRODUCT(Pemasukan!$J:$J,Text(Pemasukan!$D:$D,"mmmm")=G$2,Pemasukan!$F:$F=$B14)</f>
        <v>0</v>
      </c>
      <c r="H14" s="102">
        <f>SUMPRODUCT(Pemasukan!$J:$J,Text(Pemasukan!$D:$D,"mmmm")=H$2,Pemasukan!$F:$F=$B14)</f>
        <v>0</v>
      </c>
      <c r="I14" s="102">
        <f>SUMPRODUCT(Pemasukan!$J:$J,Text(Pemasukan!$D:$D,"mmmm")=I$2,Pemasukan!$F:$F=$B14)</f>
        <v>0</v>
      </c>
      <c r="J14" s="102">
        <f>SUMPRODUCT(Pemasukan!$J:$J,Text(Pemasukan!$D:$D,"mmmm")=J$2,Pemasukan!$F:$F=$B14)</f>
        <v>2000000</v>
      </c>
      <c r="K14" s="102">
        <f>SUMPRODUCT(Pemasukan!$J:$J,Text(Pemasukan!$D:$D,"mmmm")=K$2,Pemasukan!$F:$F=$B14)</f>
        <v>6000000</v>
      </c>
      <c r="L14" s="102">
        <f>SUMPRODUCT(Pemasukan!$J:$J,Text(Pemasukan!$D:$D,"mmmm")=L$2,Pemasukan!$F:$F=$B14)</f>
        <v>4000000</v>
      </c>
      <c r="M14" s="102">
        <f>SUMPRODUCT(Pemasukan!$J:$J,Text(Pemasukan!$D:$D,"mmmm")=M$2,Pemasukan!$F:$F=$B14)</f>
        <v>4000000</v>
      </c>
      <c r="N14" s="102">
        <f>SUMPRODUCT(Pemasukan!$J:$J,Text(Pemasukan!$D:$D,"mmmm")=N$2,Pemasukan!$F:$F=$B14)</f>
        <v>2000000</v>
      </c>
      <c r="O14" s="87"/>
    </row>
    <row r="15" ht="18.75" customHeight="1">
      <c r="A15" s="87"/>
      <c r="B15" s="101" t="str">
        <f>'⚙️Pengaturan'!C10</f>
        <v>New Paket Terapi Homevisit+ Jarak</v>
      </c>
      <c r="C15" s="102">
        <f>SUMPRODUCT(Pemasukan!$J:$J,Text(Pemasukan!$D:$D,"mmmm")=C$2,Pemasukan!$F:$F=$B15)</f>
        <v>0</v>
      </c>
      <c r="D15" s="102">
        <f>SUMPRODUCT(Pemasukan!$J:$J,Text(Pemasukan!$D:$D,"mmmm")=D$2,Pemasukan!$F:$F=$B15)</f>
        <v>0</v>
      </c>
      <c r="E15" s="102">
        <f>SUMPRODUCT(Pemasukan!$J:$J,Text(Pemasukan!$D:$D,"mmmm")=E$2,Pemasukan!$F:$F=$B15)</f>
        <v>0</v>
      </c>
      <c r="F15" s="102">
        <f>SUMPRODUCT(Pemasukan!$J:$J,Text(Pemasukan!$D:$D,"mmmm")=F$2,Pemasukan!$F:$F=$B15)</f>
        <v>0</v>
      </c>
      <c r="G15" s="102">
        <f>SUMPRODUCT(Pemasukan!$J:$J,Text(Pemasukan!$D:$D,"mmmm")=G$2,Pemasukan!$F:$F=$B15)</f>
        <v>0</v>
      </c>
      <c r="H15" s="102">
        <f>SUMPRODUCT(Pemasukan!$J:$J,Text(Pemasukan!$D:$D,"mmmm")=H$2,Pemasukan!$F:$F=$B15)</f>
        <v>0</v>
      </c>
      <c r="I15" s="102">
        <f>SUMPRODUCT(Pemasukan!$J:$J,Text(Pemasukan!$D:$D,"mmmm")=I$2,Pemasukan!$F:$F=$B15)</f>
        <v>0</v>
      </c>
      <c r="J15" s="102">
        <f>SUMPRODUCT(Pemasukan!$J:$J,Text(Pemasukan!$D:$D,"mmmm")=J$2,Pemasukan!$F:$F=$B15)</f>
        <v>0</v>
      </c>
      <c r="K15" s="102">
        <f>SUMPRODUCT(Pemasukan!$J:$J,Text(Pemasukan!$D:$D,"mmmm")=K$2,Pemasukan!$F:$F=$B15)</f>
        <v>0</v>
      </c>
      <c r="L15" s="102">
        <f>SUMPRODUCT(Pemasukan!$J:$J,Text(Pemasukan!$D:$D,"mmmm")=L$2,Pemasukan!$F:$F=$B15)</f>
        <v>0</v>
      </c>
      <c r="M15" s="102">
        <f>SUMPRODUCT(Pemasukan!$J:$J,Text(Pemasukan!$D:$D,"mmmm")=M$2,Pemasukan!$F:$F=$B15)</f>
        <v>0</v>
      </c>
      <c r="N15" s="102">
        <f>SUMPRODUCT(Pemasukan!$J:$J,Text(Pemasukan!$D:$D,"mmmm")=N$2,Pemasukan!$F:$F=$B15)</f>
        <v>0</v>
      </c>
      <c r="O15" s="87"/>
    </row>
    <row r="16" ht="18.75" customHeight="1">
      <c r="A16" s="87"/>
      <c r="B16" s="101" t="str">
        <f>'⚙️Pengaturan'!C11</f>
        <v>Terapi Awal </v>
      </c>
      <c r="C16" s="102">
        <f>SUMPRODUCT(Pemasukan!$J:$J,Text(Pemasukan!$D:$D,"mmmm")=C$2,Pemasukan!$F:$F=$B16)</f>
        <v>5250000</v>
      </c>
      <c r="D16" s="102">
        <f>SUMPRODUCT(Pemasukan!$J:$J,Text(Pemasukan!$D:$D,"mmmm")=D$2,Pemasukan!$F:$F=$B16)</f>
        <v>4250000</v>
      </c>
      <c r="E16" s="102">
        <f>SUMPRODUCT(Pemasukan!$J:$J,Text(Pemasukan!$D:$D,"mmmm")=E$2,Pemasukan!$F:$F=$B16)</f>
        <v>4800000</v>
      </c>
      <c r="F16" s="102">
        <f>SUMPRODUCT(Pemasukan!$J:$J,Text(Pemasukan!$D:$D,"mmmm")=F$2,Pemasukan!$F:$F=$B16)</f>
        <v>2000000</v>
      </c>
      <c r="G16" s="102">
        <f>SUMPRODUCT(Pemasukan!$J:$J,Text(Pemasukan!$D:$D,"mmmm")=G$2,Pemasukan!$F:$F=$B16)</f>
        <v>4250000</v>
      </c>
      <c r="H16" s="102">
        <f>SUMPRODUCT(Pemasukan!$J:$J,Text(Pemasukan!$D:$D,"mmmm")=H$2,Pemasukan!$F:$F=$B16)</f>
        <v>2500000</v>
      </c>
      <c r="I16" s="102">
        <f>SUMPRODUCT(Pemasukan!$J:$J,Text(Pemasukan!$D:$D,"mmmm")=I$2,Pemasukan!$F:$F=$B16)</f>
        <v>7750000</v>
      </c>
      <c r="J16" s="102">
        <f>SUMPRODUCT(Pemasukan!$J:$J,Text(Pemasukan!$D:$D,"mmmm")=J$2,Pemasukan!$F:$F=$B16)</f>
        <v>175000</v>
      </c>
      <c r="K16" s="102">
        <f>SUMPRODUCT(Pemasukan!$J:$J,Text(Pemasukan!$D:$D,"mmmm")=K$2,Pemasukan!$F:$F=$B16)</f>
        <v>0</v>
      </c>
      <c r="L16" s="102">
        <f>SUMPRODUCT(Pemasukan!$J:$J,Text(Pemasukan!$D:$D,"mmmm")=L$2,Pemasukan!$F:$F=$B16)</f>
        <v>0</v>
      </c>
      <c r="M16" s="102">
        <f>SUMPRODUCT(Pemasukan!$J:$J,Text(Pemasukan!$D:$D,"mmmm")=M$2,Pemasukan!$F:$F=$B16)</f>
        <v>0</v>
      </c>
      <c r="N16" s="102">
        <f>SUMPRODUCT(Pemasukan!$J:$J,Text(Pemasukan!$D:$D,"mmmm")=N$2,Pemasukan!$F:$F=$B16)</f>
        <v>0</v>
      </c>
      <c r="O16" s="87"/>
    </row>
    <row r="17" ht="18.75" customHeight="1">
      <c r="A17" s="87"/>
      <c r="B17" s="101" t="str">
        <f>'⚙️Pengaturan'!C12</f>
        <v>Paket Terapi 1  </v>
      </c>
      <c r="C17" s="102">
        <f>SUMPRODUCT(Pemasukan!$J:$J,Text(Pemasukan!$D:$D,"mmmm")=C$2,Pemasukan!$F:$F=$B17)</f>
        <v>5850000</v>
      </c>
      <c r="D17" s="102">
        <f>SUMPRODUCT(Pemasukan!$J:$J,Text(Pemasukan!$D:$D,"mmmm")=D$2,Pemasukan!$F:$F=$B17)</f>
        <v>4200000</v>
      </c>
      <c r="E17" s="102">
        <f>SUMPRODUCT(Pemasukan!$J:$J,Text(Pemasukan!$D:$D,"mmmm")=E$2,Pemasukan!$F:$F=$B17)</f>
        <v>6150000</v>
      </c>
      <c r="F17" s="102">
        <f>SUMPRODUCT(Pemasukan!$J:$J,Text(Pemasukan!$D:$D,"mmmm")=F$2,Pemasukan!$F:$F=$B17)</f>
        <v>1350000</v>
      </c>
      <c r="G17" s="102">
        <f>SUMPRODUCT(Pemasukan!$J:$J,Text(Pemasukan!$D:$D,"mmmm")=G$2,Pemasukan!$F:$F=$B17)</f>
        <v>6500000</v>
      </c>
      <c r="H17" s="102">
        <f>SUMPRODUCT(Pemasukan!$J:$J,Text(Pemasukan!$D:$D,"mmmm")=H$2,Pemasukan!$F:$F=$B17)</f>
        <v>1500000</v>
      </c>
      <c r="I17" s="102">
        <f>SUMPRODUCT(Pemasukan!$J:$J,Text(Pemasukan!$D:$D,"mmmm")=I$2,Pemasukan!$F:$F=$B17)</f>
        <v>10100000</v>
      </c>
      <c r="J17" s="102">
        <f>SUMPRODUCT(Pemasukan!$J:$J,Text(Pemasukan!$D:$D,"mmmm")=J$2,Pemasukan!$F:$F=$B17)</f>
        <v>4750000</v>
      </c>
      <c r="K17" s="102">
        <f>SUMPRODUCT(Pemasukan!$J:$J,Text(Pemasukan!$D:$D,"mmmm")=K$2,Pemasukan!$F:$F=$B17)</f>
        <v>0</v>
      </c>
      <c r="L17" s="102">
        <f>SUMPRODUCT(Pemasukan!$J:$J,Text(Pemasukan!$D:$D,"mmmm")=L$2,Pemasukan!$F:$F=$B17)</f>
        <v>650000</v>
      </c>
      <c r="M17" s="102">
        <f>SUMPRODUCT(Pemasukan!$J:$J,Text(Pemasukan!$D:$D,"mmmm")=M$2,Pemasukan!$F:$F=$B17)</f>
        <v>650000</v>
      </c>
      <c r="N17" s="102">
        <f>SUMPRODUCT(Pemasukan!$J:$J,Text(Pemasukan!$D:$D,"mmmm")=N$2,Pemasukan!$F:$F=$B17)</f>
        <v>0</v>
      </c>
      <c r="O17" s="87"/>
    </row>
    <row r="18" ht="18.75" customHeight="1">
      <c r="A18" s="87"/>
      <c r="B18" s="101" t="str">
        <f>'⚙️Pengaturan'!C13</f>
        <v>Paket Terapi 2 </v>
      </c>
      <c r="C18" s="102">
        <f>SUMPRODUCT(Pemasukan!$J:$J,Text(Pemasukan!$D:$D,"mmmm")=C$2,Pemasukan!$F:$F=$B18)</f>
        <v>3600000</v>
      </c>
      <c r="D18" s="102">
        <f>SUMPRODUCT(Pemasukan!$J:$J,Text(Pemasukan!$D:$D,"mmmm")=D$2,Pemasukan!$F:$F=$B18)</f>
        <v>1200000</v>
      </c>
      <c r="E18" s="102">
        <f>SUMPRODUCT(Pemasukan!$J:$J,Text(Pemasukan!$D:$D,"mmmm")=E$2,Pemasukan!$F:$F=$B18)</f>
        <v>3600000</v>
      </c>
      <c r="F18" s="102">
        <f>SUMPRODUCT(Pemasukan!$J:$J,Text(Pemasukan!$D:$D,"mmmm")=F$2,Pemasukan!$F:$F=$B18)</f>
        <v>3600000</v>
      </c>
      <c r="G18" s="102">
        <f>SUMPRODUCT(Pemasukan!$J:$J,Text(Pemasukan!$D:$D,"mmmm")=G$2,Pemasukan!$F:$F=$B18)</f>
        <v>250000</v>
      </c>
      <c r="H18" s="102">
        <f>SUMPRODUCT(Pemasukan!$J:$J,Text(Pemasukan!$D:$D,"mmmm")=H$2,Pemasukan!$F:$F=$B18)</f>
        <v>3350000</v>
      </c>
      <c r="I18" s="102">
        <f>SUMPRODUCT(Pemasukan!$J:$J,Text(Pemasukan!$D:$D,"mmmm")=I$2,Pemasukan!$F:$F=$B18)</f>
        <v>2400000</v>
      </c>
      <c r="J18" s="102">
        <f>SUMPRODUCT(Pemasukan!$J:$J,Text(Pemasukan!$D:$D,"mmmm")=J$2,Pemasukan!$F:$F=$B18)</f>
        <v>2400000</v>
      </c>
      <c r="K18" s="102">
        <f>SUMPRODUCT(Pemasukan!$J:$J,Text(Pemasukan!$D:$D,"mmmm")=K$2,Pemasukan!$F:$F=$B18)</f>
        <v>1800000</v>
      </c>
      <c r="L18" s="102">
        <f>SUMPRODUCT(Pemasukan!$J:$J,Text(Pemasukan!$D:$D,"mmmm")=L$2,Pemasukan!$F:$F=$B18)</f>
        <v>1800000</v>
      </c>
      <c r="M18" s="102">
        <f>SUMPRODUCT(Pemasukan!$J:$J,Text(Pemasukan!$D:$D,"mmmm")=M$2,Pemasukan!$F:$F=$B18)</f>
        <v>0</v>
      </c>
      <c r="N18" s="102">
        <f>SUMPRODUCT(Pemasukan!$J:$J,Text(Pemasukan!$D:$D,"mmmm")=N$2,Pemasukan!$F:$F=$B18)</f>
        <v>1200000</v>
      </c>
      <c r="O18" s="87"/>
    </row>
    <row r="19" ht="18.75" customHeight="1">
      <c r="A19" s="87"/>
      <c r="B19" s="101" t="str">
        <f>'⚙️Pengaturan'!C14</f>
        <v>Sesi Terapi</v>
      </c>
      <c r="C19" s="102">
        <f>SUMPRODUCT(Pemasukan!$J:$J,Text(Pemasukan!$D:$D,"mmmm")=C$2,Pemasukan!$F:$F=$B19)</f>
        <v>1500000</v>
      </c>
      <c r="D19" s="102">
        <f>SUMPRODUCT(Pemasukan!$J:$J,Text(Pemasukan!$D:$D,"mmmm")=D$2,Pemasukan!$F:$F=$B19)</f>
        <v>4500000</v>
      </c>
      <c r="E19" s="102">
        <f>SUMPRODUCT(Pemasukan!$J:$J,Text(Pemasukan!$D:$D,"mmmm")=E$2,Pemasukan!$F:$F=$B19)</f>
        <v>1650000</v>
      </c>
      <c r="F19" s="102">
        <f>SUMPRODUCT(Pemasukan!$J:$J,Text(Pemasukan!$D:$D,"mmmm")=F$2,Pemasukan!$F:$F=$B19)</f>
        <v>2500000</v>
      </c>
      <c r="G19" s="102">
        <f>SUMPRODUCT(Pemasukan!$J:$J,Text(Pemasukan!$D:$D,"mmmm")=G$2,Pemasukan!$F:$F=$B19)</f>
        <v>2300000</v>
      </c>
      <c r="H19" s="102">
        <f>SUMPRODUCT(Pemasukan!$J:$J,Text(Pemasukan!$D:$D,"mmmm")=H$2,Pemasukan!$F:$F=$B19)</f>
        <v>2100000</v>
      </c>
      <c r="I19" s="102">
        <f>SUMPRODUCT(Pemasukan!$J:$J,Text(Pemasukan!$D:$D,"mmmm")=I$2,Pemasukan!$F:$F=$B19)</f>
        <v>4050000</v>
      </c>
      <c r="J19" s="102">
        <f>SUMPRODUCT(Pemasukan!$J:$J,Text(Pemasukan!$D:$D,"mmmm")=J$2,Pemasukan!$F:$F=$B19)</f>
        <v>1050000</v>
      </c>
      <c r="K19" s="102">
        <f>SUMPRODUCT(Pemasukan!$J:$J,Text(Pemasukan!$D:$D,"mmmm")=K$2,Pemasukan!$F:$F=$B19)</f>
        <v>750000</v>
      </c>
      <c r="L19" s="102">
        <f>SUMPRODUCT(Pemasukan!$J:$J,Text(Pemasukan!$D:$D,"mmmm")=L$2,Pemasukan!$F:$F=$B19)</f>
        <v>450000</v>
      </c>
      <c r="M19" s="102">
        <f>SUMPRODUCT(Pemasukan!$J:$J,Text(Pemasukan!$D:$D,"mmmm")=M$2,Pemasukan!$F:$F=$B19)</f>
        <v>750000</v>
      </c>
      <c r="N19" s="102">
        <f>SUMPRODUCT(Pemasukan!$J:$J,Text(Pemasukan!$D:$D,"mmmm")=N$2,Pemasukan!$F:$F=$B19)</f>
        <v>450000</v>
      </c>
      <c r="O19" s="87"/>
    </row>
    <row r="20" ht="18.75" customHeight="1">
      <c r="A20" s="87"/>
      <c r="B20" s="101" t="str">
        <f>'⚙️Pengaturan'!C15</f>
        <v>Terapi Awal Homevisit</v>
      </c>
      <c r="C20" s="102">
        <f>SUMPRODUCT(Pemasukan!$J:$J,Text(Pemasukan!$D:$D,"mmmm")=C$2,Pemasukan!$F:$F=$B20)</f>
        <v>600000</v>
      </c>
      <c r="D20" s="102">
        <f>SUMPRODUCT(Pemasukan!$J:$J,Text(Pemasukan!$D:$D,"mmmm")=D$2,Pemasukan!$F:$F=$B20)</f>
        <v>0</v>
      </c>
      <c r="E20" s="102">
        <f>SUMPRODUCT(Pemasukan!$J:$J,Text(Pemasukan!$D:$D,"mmmm")=E$2,Pemasukan!$F:$F=$B20)</f>
        <v>0</v>
      </c>
      <c r="F20" s="102">
        <f>SUMPRODUCT(Pemasukan!$J:$J,Text(Pemasukan!$D:$D,"mmmm")=F$2,Pemasukan!$F:$F=$B20)</f>
        <v>600000</v>
      </c>
      <c r="G20" s="102">
        <f>SUMPRODUCT(Pemasukan!$J:$J,Text(Pemasukan!$D:$D,"mmmm")=G$2,Pemasukan!$F:$F=$B20)</f>
        <v>300000</v>
      </c>
      <c r="H20" s="102">
        <f>SUMPRODUCT(Pemasukan!$J:$J,Text(Pemasukan!$D:$D,"mmmm")=H$2,Pemasukan!$F:$F=$B20)</f>
        <v>300000</v>
      </c>
      <c r="I20" s="102">
        <f>SUMPRODUCT(Pemasukan!$J:$J,Text(Pemasukan!$D:$D,"mmmm")=I$2,Pemasukan!$F:$F=$B20)</f>
        <v>0</v>
      </c>
      <c r="J20" s="102">
        <f>SUMPRODUCT(Pemasukan!$J:$J,Text(Pemasukan!$D:$D,"mmmm")=J$2,Pemasukan!$F:$F=$B20)</f>
        <v>0</v>
      </c>
      <c r="K20" s="102">
        <f>SUMPRODUCT(Pemasukan!$J:$J,Text(Pemasukan!$D:$D,"mmmm")=K$2,Pemasukan!$F:$F=$B20)</f>
        <v>0</v>
      </c>
      <c r="L20" s="102">
        <f>SUMPRODUCT(Pemasukan!$J:$J,Text(Pemasukan!$D:$D,"mmmm")=L$2,Pemasukan!$F:$F=$B20)</f>
        <v>0</v>
      </c>
      <c r="M20" s="102">
        <f>SUMPRODUCT(Pemasukan!$J:$J,Text(Pemasukan!$D:$D,"mmmm")=M$2,Pemasukan!$F:$F=$B20)</f>
        <v>0</v>
      </c>
      <c r="N20" s="102">
        <f>SUMPRODUCT(Pemasukan!$J:$J,Text(Pemasukan!$D:$D,"mmmm")=N$2,Pemasukan!$F:$F=$B20)</f>
        <v>0</v>
      </c>
      <c r="O20" s="87"/>
    </row>
    <row r="21" ht="18.75" customHeight="1">
      <c r="A21" s="87"/>
      <c r="B21" s="101" t="str">
        <f>'⚙️Pengaturan'!C16</f>
        <v>Terapi Awal Homevisit + Jarak</v>
      </c>
      <c r="C21" s="102">
        <f>SUMPRODUCT(Pemasukan!$J:$J,Text(Pemasukan!$D:$D,"mmmm")=C$2,Pemasukan!$F:$F=$B21)</f>
        <v>0</v>
      </c>
      <c r="D21" s="102">
        <f>SUMPRODUCT(Pemasukan!$J:$J,Text(Pemasukan!$D:$D,"mmmm")=D$2,Pemasukan!$F:$F=$B21)</f>
        <v>0</v>
      </c>
      <c r="E21" s="102">
        <f>SUMPRODUCT(Pemasukan!$J:$J,Text(Pemasukan!$D:$D,"mmmm")=E$2,Pemasukan!$F:$F=$B21)</f>
        <v>0</v>
      </c>
      <c r="F21" s="102">
        <f>SUMPRODUCT(Pemasukan!$J:$J,Text(Pemasukan!$D:$D,"mmmm")=F$2,Pemasukan!$F:$F=$B21)</f>
        <v>0</v>
      </c>
      <c r="G21" s="102">
        <f>SUMPRODUCT(Pemasukan!$J:$J,Text(Pemasukan!$D:$D,"mmmm")=G$2,Pemasukan!$F:$F=$B21)</f>
        <v>350000</v>
      </c>
      <c r="H21" s="102">
        <f>SUMPRODUCT(Pemasukan!$J:$J,Text(Pemasukan!$D:$D,"mmmm")=H$2,Pemasukan!$F:$F=$B21)</f>
        <v>0</v>
      </c>
      <c r="I21" s="102">
        <f>SUMPRODUCT(Pemasukan!$J:$J,Text(Pemasukan!$D:$D,"mmmm")=I$2,Pemasukan!$F:$F=$B21)</f>
        <v>0</v>
      </c>
      <c r="J21" s="102">
        <f>SUMPRODUCT(Pemasukan!$J:$J,Text(Pemasukan!$D:$D,"mmmm")=J$2,Pemasukan!$F:$F=$B21)</f>
        <v>0</v>
      </c>
      <c r="K21" s="102">
        <f>SUMPRODUCT(Pemasukan!$J:$J,Text(Pemasukan!$D:$D,"mmmm")=K$2,Pemasukan!$F:$F=$B21)</f>
        <v>0</v>
      </c>
      <c r="L21" s="102">
        <f>SUMPRODUCT(Pemasukan!$J:$J,Text(Pemasukan!$D:$D,"mmmm")=L$2,Pemasukan!$F:$F=$B21)</f>
        <v>0</v>
      </c>
      <c r="M21" s="102">
        <f>SUMPRODUCT(Pemasukan!$J:$J,Text(Pemasukan!$D:$D,"mmmm")=M$2,Pemasukan!$F:$F=$B21)</f>
        <v>0</v>
      </c>
      <c r="N21" s="102">
        <f>SUMPRODUCT(Pemasukan!$J:$J,Text(Pemasukan!$D:$D,"mmmm")=N$2,Pemasukan!$F:$F=$B21)</f>
        <v>0</v>
      </c>
      <c r="O21" s="87"/>
    </row>
    <row r="22" ht="18.75" customHeight="1">
      <c r="A22" s="87"/>
      <c r="B22" s="101" t="str">
        <f>'⚙️Pengaturan'!C17</f>
        <v>Sesi terapi Homevisit</v>
      </c>
      <c r="C22" s="102">
        <f>SUMPRODUCT(Pemasukan!$J:$J,Text(Pemasukan!$D:$D,"mmmm")=C$2,Pemasukan!$F:$F=$B22)</f>
        <v>200000</v>
      </c>
      <c r="D22" s="102">
        <f>SUMPRODUCT(Pemasukan!$J:$J,Text(Pemasukan!$D:$D,"mmmm")=D$2,Pemasukan!$F:$F=$B22)</f>
        <v>0</v>
      </c>
      <c r="E22" s="102">
        <f>SUMPRODUCT(Pemasukan!$J:$J,Text(Pemasukan!$D:$D,"mmmm")=E$2,Pemasukan!$F:$F=$B22)</f>
        <v>0</v>
      </c>
      <c r="F22" s="102">
        <f>SUMPRODUCT(Pemasukan!$J:$J,Text(Pemasukan!$D:$D,"mmmm")=F$2,Pemasukan!$F:$F=$B22)</f>
        <v>0</v>
      </c>
      <c r="G22" s="102">
        <f>SUMPRODUCT(Pemasukan!$J:$J,Text(Pemasukan!$D:$D,"mmmm")=G$2,Pemasukan!$F:$F=$B22)</f>
        <v>0</v>
      </c>
      <c r="H22" s="102">
        <f>SUMPRODUCT(Pemasukan!$J:$J,Text(Pemasukan!$D:$D,"mmmm")=H$2,Pemasukan!$F:$F=$B22)</f>
        <v>0</v>
      </c>
      <c r="I22" s="102">
        <f>SUMPRODUCT(Pemasukan!$J:$J,Text(Pemasukan!$D:$D,"mmmm")=I$2,Pemasukan!$F:$F=$B22)</f>
        <v>0</v>
      </c>
      <c r="J22" s="102">
        <f>SUMPRODUCT(Pemasukan!$J:$J,Text(Pemasukan!$D:$D,"mmmm")=J$2,Pemasukan!$F:$F=$B22)</f>
        <v>0</v>
      </c>
      <c r="K22" s="102">
        <f>SUMPRODUCT(Pemasukan!$J:$J,Text(Pemasukan!$D:$D,"mmmm")=K$2,Pemasukan!$F:$F=$B22)</f>
        <v>0</v>
      </c>
      <c r="L22" s="102">
        <f>SUMPRODUCT(Pemasukan!$J:$J,Text(Pemasukan!$D:$D,"mmmm")=L$2,Pemasukan!$F:$F=$B22)</f>
        <v>0</v>
      </c>
      <c r="M22" s="102">
        <f>SUMPRODUCT(Pemasukan!$J:$J,Text(Pemasukan!$D:$D,"mmmm")=M$2,Pemasukan!$F:$F=$B22)</f>
        <v>0</v>
      </c>
      <c r="N22" s="102">
        <f>SUMPRODUCT(Pemasukan!$J:$J,Text(Pemasukan!$D:$D,"mmmm")=N$2,Pemasukan!$F:$F=$B22)</f>
        <v>0</v>
      </c>
      <c r="O22" s="87"/>
    </row>
    <row r="23" ht="18.75" customHeight="1">
      <c r="A23" s="87"/>
      <c r="B23" s="101" t="str">
        <f>'⚙️Pengaturan'!C18</f>
        <v>Sesi terapi Homevisit + Jarak</v>
      </c>
      <c r="C23" s="102">
        <f>SUMPRODUCT(Pemasukan!$J:$J,Text(Pemasukan!$D:$D,"mmmm")=C$2,Pemasukan!$F:$F=$B23)</f>
        <v>0</v>
      </c>
      <c r="D23" s="102">
        <f>SUMPRODUCT(Pemasukan!$J:$J,Text(Pemasukan!$D:$D,"mmmm")=D$2,Pemasukan!$F:$F=$B23)</f>
        <v>0</v>
      </c>
      <c r="E23" s="102">
        <f>SUMPRODUCT(Pemasukan!$J:$J,Text(Pemasukan!$D:$D,"mmmm")=E$2,Pemasukan!$F:$F=$B23)</f>
        <v>0</v>
      </c>
      <c r="F23" s="102">
        <f>SUMPRODUCT(Pemasukan!$J:$J,Text(Pemasukan!$D:$D,"mmmm")=F$2,Pemasukan!$F:$F=$B23)</f>
        <v>0</v>
      </c>
      <c r="G23" s="102">
        <f>SUMPRODUCT(Pemasukan!$J:$J,Text(Pemasukan!$D:$D,"mmmm")=G$2,Pemasukan!$F:$F=$B23)</f>
        <v>0</v>
      </c>
      <c r="H23" s="102">
        <f>SUMPRODUCT(Pemasukan!$J:$J,Text(Pemasukan!$D:$D,"mmmm")=H$2,Pemasukan!$F:$F=$B23)</f>
        <v>250000</v>
      </c>
      <c r="I23" s="102">
        <f>SUMPRODUCT(Pemasukan!$J:$J,Text(Pemasukan!$D:$D,"mmmm")=I$2,Pemasukan!$F:$F=$B23)</f>
        <v>0</v>
      </c>
      <c r="J23" s="102">
        <f>SUMPRODUCT(Pemasukan!$J:$J,Text(Pemasukan!$D:$D,"mmmm")=J$2,Pemasukan!$F:$F=$B23)</f>
        <v>0</v>
      </c>
      <c r="K23" s="102">
        <f>SUMPRODUCT(Pemasukan!$J:$J,Text(Pemasukan!$D:$D,"mmmm")=K$2,Pemasukan!$F:$F=$B23)</f>
        <v>0</v>
      </c>
      <c r="L23" s="102">
        <f>SUMPRODUCT(Pemasukan!$J:$J,Text(Pemasukan!$D:$D,"mmmm")=L$2,Pemasukan!$F:$F=$B23)</f>
        <v>0</v>
      </c>
      <c r="M23" s="102">
        <f>SUMPRODUCT(Pemasukan!$J:$J,Text(Pemasukan!$D:$D,"mmmm")=M$2,Pemasukan!$F:$F=$B23)</f>
        <v>0</v>
      </c>
      <c r="N23" s="102">
        <f>SUMPRODUCT(Pemasukan!$J:$J,Text(Pemasukan!$D:$D,"mmmm")=N$2,Pemasukan!$F:$F=$B23)</f>
        <v>0</v>
      </c>
      <c r="O23" s="87"/>
    </row>
    <row r="24" ht="18.75" customHeight="1">
      <c r="A24" s="87"/>
      <c r="B24" s="101" t="str">
        <f>'⚙️Pengaturan'!C19</f>
        <v>Paket Terapi Homevisit</v>
      </c>
      <c r="C24" s="102">
        <f>SUMPRODUCT(Pemasukan!$J:$J,Text(Pemasukan!$D:$D,"mmmm")=C$2,Pemasukan!$F:$F=$B24)</f>
        <v>1800000</v>
      </c>
      <c r="D24" s="102">
        <f>SUMPRODUCT(Pemasukan!$J:$J,Text(Pemasukan!$D:$D,"mmmm")=D$2,Pemasukan!$F:$F=$B24)</f>
        <v>0</v>
      </c>
      <c r="E24" s="102">
        <f>SUMPRODUCT(Pemasukan!$J:$J,Text(Pemasukan!$D:$D,"mmmm")=E$2,Pemasukan!$F:$F=$B24)</f>
        <v>0</v>
      </c>
      <c r="F24" s="102">
        <f>SUMPRODUCT(Pemasukan!$J:$J,Text(Pemasukan!$D:$D,"mmmm")=F$2,Pemasukan!$F:$F=$B24)</f>
        <v>1800000</v>
      </c>
      <c r="G24" s="102">
        <f>SUMPRODUCT(Pemasukan!$J:$J,Text(Pemasukan!$D:$D,"mmmm")=G$2,Pemasukan!$F:$F=$B24)</f>
        <v>0</v>
      </c>
      <c r="H24" s="102">
        <f>SUMPRODUCT(Pemasukan!$J:$J,Text(Pemasukan!$D:$D,"mmmm")=H$2,Pemasukan!$F:$F=$B24)</f>
        <v>0</v>
      </c>
      <c r="I24" s="102">
        <f>SUMPRODUCT(Pemasukan!$J:$J,Text(Pemasukan!$D:$D,"mmmm")=I$2,Pemasukan!$F:$F=$B24)</f>
        <v>3600000</v>
      </c>
      <c r="J24" s="102">
        <f>SUMPRODUCT(Pemasukan!$J:$J,Text(Pemasukan!$D:$D,"mmmm")=J$2,Pemasukan!$F:$F=$B24)</f>
        <v>0</v>
      </c>
      <c r="K24" s="102">
        <f>SUMPRODUCT(Pemasukan!$J:$J,Text(Pemasukan!$D:$D,"mmmm")=K$2,Pemasukan!$F:$F=$B24)</f>
        <v>0</v>
      </c>
      <c r="L24" s="102">
        <f>SUMPRODUCT(Pemasukan!$J:$J,Text(Pemasukan!$D:$D,"mmmm")=L$2,Pemasukan!$F:$F=$B24)</f>
        <v>0</v>
      </c>
      <c r="M24" s="102">
        <f>SUMPRODUCT(Pemasukan!$J:$J,Text(Pemasukan!$D:$D,"mmmm")=M$2,Pemasukan!$F:$F=$B24)</f>
        <v>0</v>
      </c>
      <c r="N24" s="102">
        <f>SUMPRODUCT(Pemasukan!$J:$J,Text(Pemasukan!$D:$D,"mmmm")=N$2,Pemasukan!$F:$F=$B24)</f>
        <v>0</v>
      </c>
      <c r="O24" s="87"/>
    </row>
    <row r="25" ht="18.75" customHeight="1">
      <c r="A25" s="87"/>
      <c r="B25" s="101" t="str">
        <f>'⚙️Pengaturan'!C20</f>
        <v>Paket Terapi Homevisit+ Jarak</v>
      </c>
      <c r="C25" s="102"/>
      <c r="D25" s="102"/>
      <c r="E25" s="102"/>
      <c r="F25" s="102"/>
      <c r="G25" s="102"/>
      <c r="H25" s="102"/>
      <c r="I25" s="102">
        <f>SUMPRODUCT(Pemasukan!$J:$J,Text(Pemasukan!$D:$D,"mmmm")=I$2,Pemasukan!$F:$F=$B25)</f>
        <v>0</v>
      </c>
      <c r="J25" s="102">
        <f>SUMPRODUCT(Pemasukan!$J:$J,Text(Pemasukan!$D:$D,"mmmm")=J$2,Pemasukan!$F:$F=$B25)</f>
        <v>0</v>
      </c>
      <c r="K25" s="102">
        <f>SUMPRODUCT(Pemasukan!$J:$J,Text(Pemasukan!$D:$D,"mmmm")=K$2,Pemasukan!$F:$F=$B25)</f>
        <v>0</v>
      </c>
      <c r="L25" s="102">
        <f>SUMPRODUCT(Pemasukan!$J:$J,Text(Pemasukan!$D:$D,"mmmm")=L$2,Pemasukan!$F:$F=$B25)</f>
        <v>0</v>
      </c>
      <c r="M25" s="102">
        <f>SUMPRODUCT(Pemasukan!$J:$J,Text(Pemasukan!$D:$D,"mmmm")=M$2,Pemasukan!$F:$F=$B25)</f>
        <v>0</v>
      </c>
      <c r="N25" s="102">
        <f>SUMPRODUCT(Pemasukan!$J:$J,Text(Pemasukan!$D:$D,"mmmm")=N$2,Pemasukan!$F:$F=$B25)</f>
        <v>0</v>
      </c>
      <c r="O25" s="87"/>
    </row>
    <row r="26" ht="26.25" customHeight="1">
      <c r="A26" s="97"/>
      <c r="B26" s="98" t="s">
        <v>157</v>
      </c>
      <c r="C26" s="99">
        <f t="shared" ref="C26:M26" si="2">SUM(C8:C24)</f>
        <v>27905000</v>
      </c>
      <c r="D26" s="99">
        <f t="shared" si="2"/>
        <v>14150000</v>
      </c>
      <c r="E26" s="99">
        <f t="shared" si="2"/>
        <v>16200000</v>
      </c>
      <c r="F26" s="99">
        <f t="shared" si="2"/>
        <v>11850000</v>
      </c>
      <c r="G26" s="99">
        <f t="shared" si="2"/>
        <v>13950000</v>
      </c>
      <c r="H26" s="99">
        <f t="shared" si="2"/>
        <v>10000000</v>
      </c>
      <c r="I26" s="99">
        <f t="shared" si="2"/>
        <v>33690000</v>
      </c>
      <c r="J26" s="99">
        <f t="shared" si="2"/>
        <v>35740000</v>
      </c>
      <c r="K26" s="99">
        <f t="shared" si="2"/>
        <v>29455000</v>
      </c>
      <c r="L26" s="99">
        <f t="shared" si="2"/>
        <v>34775000</v>
      </c>
      <c r="M26" s="99">
        <f t="shared" si="2"/>
        <v>22475000</v>
      </c>
      <c r="N26" s="99">
        <f>SUM(N8:N25)</f>
        <v>22475000</v>
      </c>
      <c r="O26" s="99"/>
    </row>
    <row r="27" ht="7.5" customHeight="1">
      <c r="A27" s="87"/>
      <c r="B27" s="87"/>
      <c r="C27" s="88"/>
      <c r="D27" s="87"/>
      <c r="E27" s="87"/>
      <c r="F27" s="87"/>
      <c r="G27" s="87"/>
      <c r="H27" s="87"/>
      <c r="I27" s="87"/>
      <c r="J27" s="87"/>
      <c r="K27" s="87"/>
      <c r="L27" s="87"/>
      <c r="M27" s="87"/>
      <c r="N27" s="87"/>
      <c r="O27" s="87"/>
    </row>
    <row r="28" ht="22.5" customHeight="1">
      <c r="A28" s="93"/>
      <c r="B28" s="184" t="s">
        <v>352</v>
      </c>
      <c r="C28" s="95"/>
      <c r="D28" s="95"/>
      <c r="E28" s="95"/>
      <c r="F28" s="95"/>
      <c r="G28" s="95"/>
      <c r="H28" s="95"/>
      <c r="I28" s="95"/>
      <c r="J28" s="95"/>
      <c r="K28" s="95"/>
      <c r="L28" s="95"/>
      <c r="M28" s="95"/>
      <c r="N28" s="96"/>
      <c r="O28" s="93"/>
    </row>
    <row r="29" ht="18.75" customHeight="1">
      <c r="A29" s="87"/>
      <c r="B29" s="101" t="str">
        <f>'⚙️Pengaturan'!E3</f>
        <v>Beban Gaji Pegawai</v>
      </c>
      <c r="C29" s="102">
        <f>SUMPRODUCT(Pengeluaran!$F:$F,Text(Pengeluaran!$D:$D,"mmmm")=C$2,Pengeluaran!$E:$E=$B29)</f>
        <v>0</v>
      </c>
      <c r="D29" s="102">
        <f>SUMPRODUCT(Pengeluaran!$F:$F,Text(Pengeluaran!$D:$D,"mmmm")=D$2,Pengeluaran!$E:$E=$B29)</f>
        <v>0</v>
      </c>
      <c r="E29" s="102">
        <f>SUMPRODUCT(Pengeluaran!$F:$F,Text(Pengeluaran!$D:$D,"mmmm")=E$2,Pengeluaran!$E:$E=$B29)</f>
        <v>0</v>
      </c>
      <c r="F29" s="102">
        <f>SUMPRODUCT(Pengeluaran!$F:$F,Text(Pengeluaran!$D:$D,"mmmm")=F$2,Pengeluaran!$E:$E=$B29)</f>
        <v>0</v>
      </c>
      <c r="G29" s="102">
        <f>SUMPRODUCT(Pengeluaran!$F:$F,Text(Pengeluaran!$D:$D,"mmmm")=G$2,Pengeluaran!$E:$E=$B29)</f>
        <v>0</v>
      </c>
      <c r="H29" s="102">
        <f>SUMPRODUCT(Pengeluaran!$F:$F,Text(Pengeluaran!$D:$D,"mmmm")=H$2,Pengeluaran!$E:$E=$B29)</f>
        <v>0</v>
      </c>
      <c r="I29" s="102">
        <f>SUMPRODUCT(Pengeluaran!$F:$F,Text(Pengeluaran!$D:$D,"mmmm")=I$2,Pengeluaran!$E:$E=$B29)</f>
        <v>9779043</v>
      </c>
      <c r="J29" s="102">
        <f>SUMPRODUCT(Pengeluaran!$F:$F,Text(Pengeluaran!$D:$D,"mmmm")=J$2,Pengeluaran!$E:$E=$B29)</f>
        <v>11767500</v>
      </c>
      <c r="K29" s="102">
        <f>SUMPRODUCT(Pengeluaran!$F:$F,Text(Pengeluaran!$D:$D,"mmmm")=K$2,Pengeluaran!$E:$E=$B29)</f>
        <v>10428100</v>
      </c>
      <c r="L29" s="102">
        <f>SUMPRODUCT(Pengeluaran!$F:$F,Text(Pengeluaran!$D:$D,"mmmm")=L$2,Pengeluaran!$E:$E=$B29)</f>
        <v>12326000</v>
      </c>
      <c r="M29" s="102">
        <f>SUMPRODUCT(Pengeluaran!$F:$F,Text(Pengeluaran!$D:$D,"mmmm")=M$2,Pengeluaran!$E:$E=$B29)</f>
        <v>10820000</v>
      </c>
      <c r="N29" s="102">
        <f>SUMPRODUCT(Pengeluaran!$F:$F,Text(Pengeluaran!$D:$D,"mmmm")=N$2,Pengeluaran!$E:$E=$B29)</f>
        <v>9122500</v>
      </c>
      <c r="O29" s="87"/>
    </row>
    <row r="30" ht="18.75" customHeight="1">
      <c r="A30" s="87"/>
      <c r="B30" s="101" t="str">
        <f>'⚙️Pengaturan'!E4</f>
        <v>Beban Listrik</v>
      </c>
      <c r="C30" s="102">
        <f>SUMPRODUCT(Pengeluaran!$F:$F,Text(Pengeluaran!$D:$D,"mmmm")=C$2,Pengeluaran!$E:$E=$B30)</f>
        <v>402415</v>
      </c>
      <c r="D30" s="102">
        <f>SUMPRODUCT(Pengeluaran!$F:$F,Text(Pengeluaran!$D:$D,"mmmm")=D$2,Pengeluaran!$E:$E=$B30)</f>
        <v>0</v>
      </c>
      <c r="E30" s="102">
        <f>SUMPRODUCT(Pengeluaran!$F:$F,Text(Pengeluaran!$D:$D,"mmmm")=E$2,Pengeluaran!$E:$E=$B30)</f>
        <v>0</v>
      </c>
      <c r="F30" s="102">
        <f>SUMPRODUCT(Pengeluaran!$F:$F,Text(Pengeluaran!$D:$D,"mmmm")=F$2,Pengeluaran!$E:$E=$B30)</f>
        <v>205901</v>
      </c>
      <c r="G30" s="102">
        <f>SUMPRODUCT(Pengeluaran!$F:$F,Text(Pengeluaran!$D:$D,"mmmm")=G$2,Pengeluaran!$E:$E=$B30)</f>
        <v>403818</v>
      </c>
      <c r="H30" s="102">
        <f>SUMPRODUCT(Pengeluaran!$F:$F,Text(Pengeluaran!$D:$D,"mmmm")=H$2,Pengeluaran!$E:$E=$B30)</f>
        <v>404402</v>
      </c>
      <c r="I30" s="102">
        <f>SUMPRODUCT(Pengeluaran!$F:$F,Text(Pengeluaran!$D:$D,"mmmm")=I$2,Pengeluaran!$E:$E=$B30)</f>
        <v>807320</v>
      </c>
      <c r="J30" s="102">
        <f>SUMPRODUCT(Pengeluaran!$F:$F,Text(Pengeluaran!$D:$D,"mmmm")=J$2,Pengeluaran!$E:$E=$B30)</f>
        <v>807025</v>
      </c>
      <c r="K30" s="102">
        <f>SUMPRODUCT(Pengeluaran!$F:$F,Text(Pengeluaran!$D:$D,"mmmm")=K$2,Pengeluaran!$E:$E=$B30)</f>
        <v>806824</v>
      </c>
      <c r="L30" s="102">
        <f>SUMPRODUCT(Pengeluaran!$F:$F,Text(Pengeluaran!$D:$D,"mmmm")=L$2,Pengeluaran!$E:$E=$B30)</f>
        <v>1011856</v>
      </c>
      <c r="M30" s="102">
        <f>SUMPRODUCT(Pengeluaran!$F:$F,Text(Pengeluaran!$D:$D,"mmmm")=M$2,Pengeluaran!$E:$E=$B30)</f>
        <v>809233</v>
      </c>
      <c r="N30" s="102">
        <f>SUMPRODUCT(Pengeluaran!$F:$F,Text(Pengeluaran!$D:$D,"mmmm")=N$2,Pengeluaran!$E:$E=$B30)</f>
        <v>709772</v>
      </c>
      <c r="O30" s="87"/>
    </row>
    <row r="31" ht="18.75" customHeight="1">
      <c r="A31" s="87"/>
      <c r="B31" s="101" t="str">
        <f>'⚙️Pengaturan'!E5</f>
        <v>Beban PDAM</v>
      </c>
      <c r="C31" s="102">
        <f>SUMPRODUCT(Pengeluaran!$F:$F,Text(Pengeluaran!$D:$D,"mmmm")=C$2,Pengeluaran!$E:$E=$B31)</f>
        <v>0</v>
      </c>
      <c r="D31" s="102">
        <f>SUMPRODUCT(Pengeluaran!$F:$F,Text(Pengeluaran!$D:$D,"mmmm")=D$2,Pengeluaran!$E:$E=$B31)</f>
        <v>0</v>
      </c>
      <c r="E31" s="102">
        <f>SUMPRODUCT(Pengeluaran!$F:$F,Text(Pengeluaran!$D:$D,"mmmm")=E$2,Pengeluaran!$E:$E=$B31)</f>
        <v>0</v>
      </c>
      <c r="F31" s="102">
        <f>SUMPRODUCT(Pengeluaran!$F:$F,Text(Pengeluaran!$D:$D,"mmmm")=F$2,Pengeluaran!$E:$E=$B31)</f>
        <v>0</v>
      </c>
      <c r="G31" s="102">
        <f>SUMPRODUCT(Pengeluaran!$F:$F,Text(Pengeluaran!$D:$D,"mmmm")=G$2,Pengeluaran!$E:$E=$B31)</f>
        <v>0</v>
      </c>
      <c r="H31" s="102">
        <f>SUMPRODUCT(Pengeluaran!$F:$F,Text(Pengeluaran!$D:$D,"mmmm")=H$2,Pengeluaran!$E:$E=$B31)</f>
        <v>0</v>
      </c>
      <c r="I31" s="102">
        <f>SUMPRODUCT(Pengeluaran!$F:$F,Text(Pengeluaran!$D:$D,"mmmm")=I$2,Pengeluaran!$E:$E=$B31)</f>
        <v>0</v>
      </c>
      <c r="J31" s="102">
        <f>SUMPRODUCT(Pengeluaran!$F:$F,Text(Pengeluaran!$D:$D,"mmmm")=J$2,Pengeluaran!$E:$E=$B31)</f>
        <v>0</v>
      </c>
      <c r="K31" s="102">
        <f>SUMPRODUCT(Pengeluaran!$F:$F,Text(Pengeluaran!$D:$D,"mmmm")=K$2,Pengeluaran!$E:$E=$B31)</f>
        <v>0</v>
      </c>
      <c r="L31" s="102">
        <f>SUMPRODUCT(Pengeluaran!$F:$F,Text(Pengeluaran!$D:$D,"mmmm")=L$2,Pengeluaran!$E:$E=$B31)</f>
        <v>0</v>
      </c>
      <c r="M31" s="102">
        <f>SUMPRODUCT(Pengeluaran!$F:$F,Text(Pengeluaran!$D:$D,"mmmm")=M$2,Pengeluaran!$E:$E=$B31)</f>
        <v>0</v>
      </c>
      <c r="N31" s="102">
        <f>SUMPRODUCT(Pengeluaran!$F:$F,Text(Pengeluaran!$D:$D,"mmmm")=N$2,Pengeluaran!$E:$E=$B31)</f>
        <v>0</v>
      </c>
      <c r="O31" s="87"/>
    </row>
    <row r="32" ht="18.75" customHeight="1">
      <c r="A32" s="87"/>
      <c r="B32" s="101" t="str">
        <f>'⚙️Pengaturan'!E6</f>
        <v>Beban pemeliharaan bangunan</v>
      </c>
      <c r="C32" s="102">
        <f>SUMPRODUCT(Pengeluaran!$F:$F,Text(Pengeluaran!$D:$D,"mmmm")=C$2,Pengeluaran!$E:$E=$B32)</f>
        <v>0</v>
      </c>
      <c r="D32" s="102">
        <f>SUMPRODUCT(Pengeluaran!$F:$F,Text(Pengeluaran!$D:$D,"mmmm")=D$2,Pengeluaran!$E:$E=$B32)</f>
        <v>0</v>
      </c>
      <c r="E32" s="102">
        <f>SUMPRODUCT(Pengeluaran!$F:$F,Text(Pengeluaran!$D:$D,"mmmm")=E$2,Pengeluaran!$E:$E=$B32)</f>
        <v>0</v>
      </c>
      <c r="F32" s="102">
        <f>SUMPRODUCT(Pengeluaran!$F:$F,Text(Pengeluaran!$D:$D,"mmmm")=F$2,Pengeluaran!$E:$E=$B32)</f>
        <v>0</v>
      </c>
      <c r="G32" s="102">
        <f>SUMPRODUCT(Pengeluaran!$F:$F,Text(Pengeluaran!$D:$D,"mmmm")=G$2,Pengeluaran!$E:$E=$B32)</f>
        <v>35000</v>
      </c>
      <c r="H32" s="102">
        <f>SUMPRODUCT(Pengeluaran!$F:$F,Text(Pengeluaran!$D:$D,"mmmm")=H$2,Pengeluaran!$E:$E=$B32)</f>
        <v>35000</v>
      </c>
      <c r="I32" s="102">
        <f>SUMPRODUCT(Pengeluaran!$F:$F,Text(Pengeluaran!$D:$D,"mmmm")=I$2,Pengeluaran!$E:$E=$B32)</f>
        <v>50000</v>
      </c>
      <c r="J32" s="102">
        <f>SUMPRODUCT(Pengeluaran!$F:$F,Text(Pengeluaran!$D:$D,"mmmm")=J$2,Pengeluaran!$E:$E=$B32)</f>
        <v>45000</v>
      </c>
      <c r="K32" s="102">
        <f>SUMPRODUCT(Pengeluaran!$F:$F,Text(Pengeluaran!$D:$D,"mmmm")=K$2,Pengeluaran!$E:$E=$B32)</f>
        <v>62200</v>
      </c>
      <c r="L32" s="102">
        <f>SUMPRODUCT(Pengeluaran!$F:$F,Text(Pengeluaran!$D:$D,"mmmm")=L$2,Pengeluaran!$E:$E=$B32)</f>
        <v>75000</v>
      </c>
      <c r="M32" s="102">
        <f>SUMPRODUCT(Pengeluaran!$F:$F,Text(Pengeluaran!$D:$D,"mmmm")=M$2,Pengeluaran!$E:$E=$B32)</f>
        <v>900000</v>
      </c>
      <c r="N32" s="102">
        <f>SUMPRODUCT(Pengeluaran!$F:$F,Text(Pengeluaran!$D:$D,"mmmm")=N$2,Pengeluaran!$E:$E=$B32)</f>
        <v>0</v>
      </c>
      <c r="O32" s="87"/>
    </row>
    <row r="33" ht="18.75" customHeight="1">
      <c r="A33" s="87"/>
      <c r="B33" s="101" t="str">
        <f>'⚙️Pengaturan'!E7</f>
        <v>Beban pemeliharaan peralatan</v>
      </c>
      <c r="C33" s="102">
        <f>SUMPRODUCT(Pengeluaran!$F:$F,Text(Pengeluaran!$D:$D,"mmmm")=C$2,Pengeluaran!$E:$E=$B33)</f>
        <v>0</v>
      </c>
      <c r="D33" s="102">
        <f>SUMPRODUCT(Pengeluaran!$F:$F,Text(Pengeluaran!$D:$D,"mmmm")=D$2,Pengeluaran!$E:$E=$B33)</f>
        <v>0</v>
      </c>
      <c r="E33" s="102">
        <f>SUMPRODUCT(Pengeluaran!$F:$F,Text(Pengeluaran!$D:$D,"mmmm")=E$2,Pengeluaran!$E:$E=$B33)</f>
        <v>0</v>
      </c>
      <c r="F33" s="102">
        <f>SUMPRODUCT(Pengeluaran!$F:$F,Text(Pengeluaran!$D:$D,"mmmm")=F$2,Pengeluaran!$E:$E=$B33)</f>
        <v>0</v>
      </c>
      <c r="G33" s="102">
        <f>SUMPRODUCT(Pengeluaran!$F:$F,Text(Pengeluaran!$D:$D,"mmmm")=G$2,Pengeluaran!$E:$E=$B33)</f>
        <v>660000</v>
      </c>
      <c r="H33" s="102">
        <f>SUMPRODUCT(Pengeluaran!$F:$F,Text(Pengeluaran!$D:$D,"mmmm")=H$2,Pengeluaran!$E:$E=$B33)</f>
        <v>123000</v>
      </c>
      <c r="I33" s="102">
        <f>SUMPRODUCT(Pengeluaran!$F:$F,Text(Pengeluaran!$D:$D,"mmmm")=I$2,Pengeluaran!$E:$E=$B33)</f>
        <v>0</v>
      </c>
      <c r="J33" s="102">
        <f>SUMPRODUCT(Pengeluaran!$F:$F,Text(Pengeluaran!$D:$D,"mmmm")=J$2,Pengeluaran!$E:$E=$B33)</f>
        <v>280000</v>
      </c>
      <c r="K33" s="102">
        <f>SUMPRODUCT(Pengeluaran!$F:$F,Text(Pengeluaran!$D:$D,"mmmm")=K$2,Pengeluaran!$E:$E=$B33)</f>
        <v>0</v>
      </c>
      <c r="L33" s="102">
        <f>SUMPRODUCT(Pengeluaran!$F:$F,Text(Pengeluaran!$D:$D,"mmmm")=L$2,Pengeluaran!$E:$E=$B33)</f>
        <v>38000</v>
      </c>
      <c r="M33" s="102">
        <f>SUMPRODUCT(Pengeluaran!$F:$F,Text(Pengeluaran!$D:$D,"mmmm")=M$2,Pengeluaran!$E:$E=$B33)</f>
        <v>20000</v>
      </c>
      <c r="N33" s="102">
        <f>SUMPRODUCT(Pengeluaran!$F:$F,Text(Pengeluaran!$D:$D,"mmmm")=N$2,Pengeluaran!$E:$E=$B33)</f>
        <v>188000</v>
      </c>
      <c r="O33" s="87"/>
    </row>
    <row r="34" ht="18.75" customHeight="1">
      <c r="A34" s="87"/>
      <c r="B34" s="101" t="str">
        <f>'⚙️Pengaturan'!E8</f>
        <v>Beban Konsumsi</v>
      </c>
      <c r="C34" s="102">
        <f>SUMPRODUCT(Pengeluaran!$F:$F,Text(Pengeluaran!$D:$D,"mmmm")=C$2,Pengeluaran!$E:$E=$B34)</f>
        <v>0</v>
      </c>
      <c r="D34" s="102">
        <f>SUMPRODUCT(Pengeluaran!$F:$F,Text(Pengeluaran!$D:$D,"mmmm")=D$2,Pengeluaran!$E:$E=$B34)</f>
        <v>0</v>
      </c>
      <c r="E34" s="102">
        <f>SUMPRODUCT(Pengeluaran!$F:$F,Text(Pengeluaran!$D:$D,"mmmm")=E$2,Pengeluaran!$E:$E=$B34)</f>
        <v>0</v>
      </c>
      <c r="F34" s="102">
        <f>SUMPRODUCT(Pengeluaran!$F:$F,Text(Pengeluaran!$D:$D,"mmmm")=F$2,Pengeluaran!$E:$E=$B34)</f>
        <v>0</v>
      </c>
      <c r="G34" s="102">
        <f>SUMPRODUCT(Pengeluaran!$F:$F,Text(Pengeluaran!$D:$D,"mmmm")=G$2,Pengeluaran!$E:$E=$B34)</f>
        <v>0</v>
      </c>
      <c r="H34" s="102">
        <f>SUMPRODUCT(Pengeluaran!$F:$F,Text(Pengeluaran!$D:$D,"mmmm")=H$2,Pengeluaran!$E:$E=$B34)</f>
        <v>0</v>
      </c>
      <c r="I34" s="102">
        <f>SUMPRODUCT(Pengeluaran!$F:$F,Text(Pengeluaran!$D:$D,"mmmm")=I$2,Pengeluaran!$E:$E=$B34)</f>
        <v>0</v>
      </c>
      <c r="J34" s="102">
        <f>SUMPRODUCT(Pengeluaran!$F:$F,Text(Pengeluaran!$D:$D,"mmmm")=J$2,Pengeluaran!$E:$E=$B34)</f>
        <v>304000</v>
      </c>
      <c r="K34" s="102">
        <f>SUMPRODUCT(Pengeluaran!$F:$F,Text(Pengeluaran!$D:$D,"mmmm")=K$2,Pengeluaran!$E:$E=$B34)</f>
        <v>0</v>
      </c>
      <c r="L34" s="102">
        <f>SUMPRODUCT(Pengeluaran!$F:$F,Text(Pengeluaran!$D:$D,"mmmm")=L$2,Pengeluaran!$E:$E=$B34)</f>
        <v>0</v>
      </c>
      <c r="M34" s="102">
        <f>SUMPRODUCT(Pengeluaran!$F:$F,Text(Pengeluaran!$D:$D,"mmmm")=M$2,Pengeluaran!$E:$E=$B34)</f>
        <v>0</v>
      </c>
      <c r="N34" s="102">
        <f>SUMPRODUCT(Pengeluaran!$F:$F,Text(Pengeluaran!$D:$D,"mmmm")=N$2,Pengeluaran!$E:$E=$B34)</f>
        <v>0</v>
      </c>
      <c r="O34" s="87"/>
    </row>
    <row r="35" ht="18.75" customHeight="1">
      <c r="A35" s="87"/>
      <c r="B35" s="101" t="str">
        <f>'⚙️Pengaturan'!E9</f>
        <v>Beban acara dan pertemuan</v>
      </c>
      <c r="C35" s="102">
        <f>SUMPRODUCT(Pengeluaran!$F:$F,Text(Pengeluaran!$D:$D,"mmmm")=C$2,Pengeluaran!$E:$E=$B35)</f>
        <v>0</v>
      </c>
      <c r="D35" s="102">
        <f>SUMPRODUCT(Pengeluaran!$F:$F,Text(Pengeluaran!$D:$D,"mmmm")=D$2,Pengeluaran!$E:$E=$B35)</f>
        <v>0</v>
      </c>
      <c r="E35" s="102">
        <f>SUMPRODUCT(Pengeluaran!$F:$F,Text(Pengeluaran!$D:$D,"mmmm")=E$2,Pengeluaran!$E:$E=$B35)</f>
        <v>0</v>
      </c>
      <c r="F35" s="102">
        <f>SUMPRODUCT(Pengeluaran!$F:$F,Text(Pengeluaran!$D:$D,"mmmm")=F$2,Pengeluaran!$E:$E=$B35)</f>
        <v>0</v>
      </c>
      <c r="G35" s="102">
        <f>SUMPRODUCT(Pengeluaran!$F:$F,Text(Pengeluaran!$D:$D,"mmmm")=G$2,Pengeluaran!$E:$E=$B35)</f>
        <v>0</v>
      </c>
      <c r="H35" s="102">
        <f>SUMPRODUCT(Pengeluaran!$F:$F,Text(Pengeluaran!$D:$D,"mmmm")=H$2,Pengeluaran!$E:$E=$B35)</f>
        <v>0</v>
      </c>
      <c r="I35" s="102">
        <f>SUMPRODUCT(Pengeluaran!$F:$F,Text(Pengeluaran!$D:$D,"mmmm")=I$2,Pengeluaran!$E:$E=$B35)</f>
        <v>0</v>
      </c>
      <c r="J35" s="102">
        <f>SUMPRODUCT(Pengeluaran!$F:$F,Text(Pengeluaran!$D:$D,"mmmm")=J$2,Pengeluaran!$E:$E=$B35)</f>
        <v>0</v>
      </c>
      <c r="K35" s="102">
        <f>SUMPRODUCT(Pengeluaran!$F:$F,Text(Pengeluaran!$D:$D,"mmmm")=K$2,Pengeluaran!$E:$E=$B35)</f>
        <v>0</v>
      </c>
      <c r="L35" s="102">
        <f>SUMPRODUCT(Pengeluaran!$F:$F,Text(Pengeluaran!$D:$D,"mmmm")=L$2,Pengeluaran!$E:$E=$B35)</f>
        <v>0</v>
      </c>
      <c r="M35" s="102">
        <f>SUMPRODUCT(Pengeluaran!$F:$F,Text(Pengeluaran!$D:$D,"mmmm")=M$2,Pengeluaran!$E:$E=$B35)</f>
        <v>0</v>
      </c>
      <c r="N35" s="102">
        <f>SUMPRODUCT(Pengeluaran!$F:$F,Text(Pengeluaran!$D:$D,"mmmm")=N$2,Pengeluaran!$E:$E=$B35)</f>
        <v>0</v>
      </c>
      <c r="O35" s="87"/>
    </row>
    <row r="36" ht="18.75" customHeight="1">
      <c r="A36" s="87"/>
      <c r="B36" s="101" t="str">
        <f>'⚙️Pengaturan'!E10</f>
        <v>Beban Rapat</v>
      </c>
      <c r="C36" s="102">
        <f>SUMPRODUCT(Pengeluaran!$F:$F,Text(Pengeluaran!$D:$D,"mmmm")=C$2,Pengeluaran!$E:$E=$B36)</f>
        <v>30000</v>
      </c>
      <c r="D36" s="102">
        <f>SUMPRODUCT(Pengeluaran!$F:$F,Text(Pengeluaran!$D:$D,"mmmm")=D$2,Pengeluaran!$E:$E=$B36)</f>
        <v>0</v>
      </c>
      <c r="E36" s="102">
        <f>SUMPRODUCT(Pengeluaran!$F:$F,Text(Pengeluaran!$D:$D,"mmmm")=E$2,Pengeluaran!$E:$E=$B36)</f>
        <v>0</v>
      </c>
      <c r="F36" s="102">
        <f>SUMPRODUCT(Pengeluaran!$F:$F,Text(Pengeluaran!$D:$D,"mmmm")=F$2,Pengeluaran!$E:$E=$B36)</f>
        <v>0</v>
      </c>
      <c r="G36" s="102">
        <f>SUMPRODUCT(Pengeluaran!$F:$F,Text(Pengeluaran!$D:$D,"mmmm")=G$2,Pengeluaran!$E:$E=$B36)</f>
        <v>0</v>
      </c>
      <c r="H36" s="102">
        <f>SUMPRODUCT(Pengeluaran!$F:$F,Text(Pengeluaran!$D:$D,"mmmm")=H$2,Pengeluaran!$E:$E=$B36)</f>
        <v>60000</v>
      </c>
      <c r="I36" s="102">
        <f>SUMPRODUCT(Pengeluaran!$F:$F,Text(Pengeluaran!$D:$D,"mmmm")=I$2,Pengeluaran!$E:$E=$B36)</f>
        <v>0</v>
      </c>
      <c r="J36" s="102">
        <f>SUMPRODUCT(Pengeluaran!$F:$F,Text(Pengeluaran!$D:$D,"mmmm")=J$2,Pengeluaran!$E:$E=$B36)</f>
        <v>0</v>
      </c>
      <c r="K36" s="102">
        <f>SUMPRODUCT(Pengeluaran!$F:$F,Text(Pengeluaran!$D:$D,"mmmm")=K$2,Pengeluaran!$E:$E=$B36)</f>
        <v>0</v>
      </c>
      <c r="L36" s="102">
        <f>SUMPRODUCT(Pengeluaran!$F:$F,Text(Pengeluaran!$D:$D,"mmmm")=L$2,Pengeluaran!$E:$E=$B36)</f>
        <v>30000</v>
      </c>
      <c r="M36" s="102">
        <f>SUMPRODUCT(Pengeluaran!$F:$F,Text(Pengeluaran!$D:$D,"mmmm")=M$2,Pengeluaran!$E:$E=$B36)</f>
        <v>0</v>
      </c>
      <c r="N36" s="102">
        <f>SUMPRODUCT(Pengeluaran!$F:$F,Text(Pengeluaran!$D:$D,"mmmm")=N$2,Pengeluaran!$E:$E=$B36)</f>
        <v>15000</v>
      </c>
      <c r="O36" s="87"/>
    </row>
    <row r="37" ht="18.75" customHeight="1">
      <c r="A37" s="87"/>
      <c r="B37" s="101" t="str">
        <f>'⚙️Pengaturan'!E11</f>
        <v>Beban Telepon dan Internet</v>
      </c>
      <c r="C37" s="102">
        <f>SUMPRODUCT(Pengeluaran!$F:$F,Text(Pengeluaran!$D:$D,"mmmm")=C$2,Pengeluaran!$E:$E=$B37)</f>
        <v>27000</v>
      </c>
      <c r="D37" s="102">
        <f>SUMPRODUCT(Pengeluaran!$F:$F,Text(Pengeluaran!$D:$D,"mmmm")=D$2,Pengeluaran!$E:$E=$B37)</f>
        <v>0</v>
      </c>
      <c r="E37" s="102">
        <f>SUMPRODUCT(Pengeluaran!$F:$F,Text(Pengeluaran!$D:$D,"mmmm")=E$2,Pengeluaran!$E:$E=$B37)</f>
        <v>0</v>
      </c>
      <c r="F37" s="102">
        <f>SUMPRODUCT(Pengeluaran!$F:$F,Text(Pengeluaran!$D:$D,"mmmm")=F$2,Pengeluaran!$E:$E=$B37)</f>
        <v>0</v>
      </c>
      <c r="G37" s="102">
        <f>SUMPRODUCT(Pengeluaran!$F:$F,Text(Pengeluaran!$D:$D,"mmmm")=G$2,Pengeluaran!$E:$E=$B37)</f>
        <v>27000</v>
      </c>
      <c r="H37" s="102">
        <f>SUMPRODUCT(Pengeluaran!$F:$F,Text(Pengeluaran!$D:$D,"mmmm")=H$2,Pengeluaran!$E:$E=$B37)</f>
        <v>0</v>
      </c>
      <c r="I37" s="102">
        <f>SUMPRODUCT(Pengeluaran!$F:$F,Text(Pengeluaran!$D:$D,"mmmm")=I$2,Pengeluaran!$E:$E=$B37)</f>
        <v>27000</v>
      </c>
      <c r="J37" s="102">
        <f>SUMPRODUCT(Pengeluaran!$F:$F,Text(Pengeluaran!$D:$D,"mmmm")=J$2,Pengeluaran!$E:$E=$B37)</f>
        <v>0</v>
      </c>
      <c r="K37" s="102">
        <f>SUMPRODUCT(Pengeluaran!$F:$F,Text(Pengeluaran!$D:$D,"mmmm")=K$2,Pengeluaran!$E:$E=$B37)</f>
        <v>42500</v>
      </c>
      <c r="L37" s="102">
        <f>SUMPRODUCT(Pengeluaran!$F:$F,Text(Pengeluaran!$D:$D,"mmmm")=L$2,Pengeluaran!$E:$E=$B37)</f>
        <v>47605</v>
      </c>
      <c r="M37" s="102">
        <f>SUMPRODUCT(Pengeluaran!$F:$F,Text(Pengeluaran!$D:$D,"mmmm")=M$2,Pengeluaran!$E:$E=$B37)</f>
        <v>48500</v>
      </c>
      <c r="N37" s="102">
        <f>SUMPRODUCT(Pengeluaran!$F:$F,Text(Pengeluaran!$D:$D,"mmmm")=N$2,Pengeluaran!$E:$E=$B37)</f>
        <v>0</v>
      </c>
      <c r="O37" s="87"/>
    </row>
    <row r="38" ht="18.75" customHeight="1">
      <c r="A38" s="87"/>
      <c r="B38" s="101" t="str">
        <f>'⚙️Pengaturan'!E12</f>
        <v>Beban Jasa</v>
      </c>
      <c r="C38" s="102">
        <f>SUMPRODUCT(Pengeluaran!$F:$F,Text(Pengeluaran!$D:$D,"mmmm")=C$2,Pengeluaran!$E:$E=$B38)</f>
        <v>0</v>
      </c>
      <c r="D38" s="102">
        <f>SUMPRODUCT(Pengeluaran!$F:$F,Text(Pengeluaran!$D:$D,"mmmm")=D$2,Pengeluaran!$E:$E=$B38)</f>
        <v>0</v>
      </c>
      <c r="E38" s="102">
        <f>SUMPRODUCT(Pengeluaran!$F:$F,Text(Pengeluaran!$D:$D,"mmmm")=E$2,Pengeluaran!$E:$E=$B38)</f>
        <v>0</v>
      </c>
      <c r="F38" s="102">
        <f>SUMPRODUCT(Pengeluaran!$F:$F,Text(Pengeluaran!$D:$D,"mmmm")=F$2,Pengeluaran!$E:$E=$B38)</f>
        <v>0</v>
      </c>
      <c r="G38" s="102">
        <f>SUMPRODUCT(Pengeluaran!$F:$F,Text(Pengeluaran!$D:$D,"mmmm")=G$2,Pengeluaran!$E:$E=$B38)</f>
        <v>0</v>
      </c>
      <c r="H38" s="102">
        <f>SUMPRODUCT(Pengeluaran!$F:$F,Text(Pengeluaran!$D:$D,"mmmm")=H$2,Pengeluaran!$E:$E=$B38)</f>
        <v>0</v>
      </c>
      <c r="I38" s="102">
        <f>SUMPRODUCT(Pengeluaran!$F:$F,Text(Pengeluaran!$D:$D,"mmmm")=I$2,Pengeluaran!$E:$E=$B38)</f>
        <v>0</v>
      </c>
      <c r="J38" s="102">
        <f>SUMPRODUCT(Pengeluaran!$F:$F,Text(Pengeluaran!$D:$D,"mmmm")=J$2,Pengeluaran!$E:$E=$B38)</f>
        <v>0</v>
      </c>
      <c r="K38" s="102">
        <f>SUMPRODUCT(Pengeluaran!$F:$F,Text(Pengeluaran!$D:$D,"mmmm")=K$2,Pengeluaran!$E:$E=$B38)</f>
        <v>0</v>
      </c>
      <c r="L38" s="102">
        <f>SUMPRODUCT(Pengeluaran!$F:$F,Text(Pengeluaran!$D:$D,"mmmm")=L$2,Pengeluaran!$E:$E=$B38)</f>
        <v>0</v>
      </c>
      <c r="M38" s="102">
        <f>SUMPRODUCT(Pengeluaran!$F:$F,Text(Pengeluaran!$D:$D,"mmmm")=M$2,Pengeluaran!$E:$E=$B38)</f>
        <v>0</v>
      </c>
      <c r="N38" s="102">
        <f>SUMPRODUCT(Pengeluaran!$F:$F,Text(Pengeluaran!$D:$D,"mmmm")=N$2,Pengeluaran!$E:$E=$B38)</f>
        <v>0</v>
      </c>
      <c r="O38" s="87"/>
    </row>
    <row r="39" ht="18.75" customHeight="1">
      <c r="A39" s="87"/>
      <c r="B39" s="101" t="str">
        <f>'⚙️Pengaturan'!E13</f>
        <v>Beban Promosi</v>
      </c>
      <c r="C39" s="102">
        <f>SUMPRODUCT(Pengeluaran!$F:$F,Text(Pengeluaran!$D:$D,"mmmm")=C$2,Pengeluaran!$E:$E=$B39)</f>
        <v>0</v>
      </c>
      <c r="D39" s="102">
        <f>SUMPRODUCT(Pengeluaran!$F:$F,Text(Pengeluaran!$D:$D,"mmmm")=D$2,Pengeluaran!$E:$E=$B39)</f>
        <v>0</v>
      </c>
      <c r="E39" s="102">
        <f>SUMPRODUCT(Pengeluaran!$F:$F,Text(Pengeluaran!$D:$D,"mmmm")=E$2,Pengeluaran!$E:$E=$B39)</f>
        <v>0</v>
      </c>
      <c r="F39" s="102">
        <f>SUMPRODUCT(Pengeluaran!$F:$F,Text(Pengeluaran!$D:$D,"mmmm")=F$2,Pengeluaran!$E:$E=$B39)</f>
        <v>0</v>
      </c>
      <c r="G39" s="102">
        <f>SUMPRODUCT(Pengeluaran!$F:$F,Text(Pengeluaran!$D:$D,"mmmm")=G$2,Pengeluaran!$E:$E=$B39)</f>
        <v>215000</v>
      </c>
      <c r="H39" s="102">
        <f>SUMPRODUCT(Pengeluaran!$F:$F,Text(Pengeluaran!$D:$D,"mmmm")=H$2,Pengeluaran!$E:$E=$B39)</f>
        <v>0</v>
      </c>
      <c r="I39" s="102">
        <f>SUMPRODUCT(Pengeluaran!$F:$F,Text(Pengeluaran!$D:$D,"mmmm")=I$2,Pengeluaran!$E:$E=$B39)</f>
        <v>134000</v>
      </c>
      <c r="J39" s="102">
        <f>SUMPRODUCT(Pengeluaran!$F:$F,Text(Pengeluaran!$D:$D,"mmmm")=J$2,Pengeluaran!$E:$E=$B39)</f>
        <v>443500</v>
      </c>
      <c r="K39" s="102">
        <f>SUMPRODUCT(Pengeluaran!$F:$F,Text(Pengeluaran!$D:$D,"mmmm")=K$2,Pengeluaran!$E:$E=$B39)</f>
        <v>96000</v>
      </c>
      <c r="L39" s="102">
        <f>SUMPRODUCT(Pengeluaran!$F:$F,Text(Pengeluaran!$D:$D,"mmmm")=L$2,Pengeluaran!$E:$E=$B39)</f>
        <v>0</v>
      </c>
      <c r="M39" s="102">
        <f>SUMPRODUCT(Pengeluaran!$F:$F,Text(Pengeluaran!$D:$D,"mmmm")=M$2,Pengeluaran!$E:$E=$B39)</f>
        <v>0</v>
      </c>
      <c r="N39" s="102">
        <f>SUMPRODUCT(Pengeluaran!$F:$F,Text(Pengeluaran!$D:$D,"mmmm")=N$2,Pengeluaran!$E:$E=$B39)</f>
        <v>95000</v>
      </c>
      <c r="O39" s="87"/>
    </row>
    <row r="40" ht="18.75" customHeight="1">
      <c r="A40" s="87"/>
      <c r="B40" s="101" t="str">
        <f>'⚙️Pengaturan'!E14</f>
        <v>Beban Hutang Bank</v>
      </c>
      <c r="C40" s="102">
        <f>SUMPRODUCT(Pengeluaran!$F:$F,Text(Pengeluaran!$D:$D,"mmmm")=C$2,Pengeluaran!$E:$E=$B40)</f>
        <v>0</v>
      </c>
      <c r="D40" s="102">
        <f>SUMPRODUCT(Pengeluaran!$F:$F,Text(Pengeluaran!$D:$D,"mmmm")=D$2,Pengeluaran!$E:$E=$B40)</f>
        <v>0</v>
      </c>
      <c r="E40" s="102">
        <f>SUMPRODUCT(Pengeluaran!$F:$F,Text(Pengeluaran!$D:$D,"mmmm")=E$2,Pengeluaran!$E:$E=$B40)</f>
        <v>0</v>
      </c>
      <c r="F40" s="102">
        <f>SUMPRODUCT(Pengeluaran!$F:$F,Text(Pengeluaran!$D:$D,"mmmm")=F$2,Pengeluaran!$E:$E=$B40)</f>
        <v>0</v>
      </c>
      <c r="G40" s="102">
        <f>SUMPRODUCT(Pengeluaran!$F:$F,Text(Pengeluaran!$D:$D,"mmmm")=G$2,Pengeluaran!$E:$E=$B40)</f>
        <v>0</v>
      </c>
      <c r="H40" s="102">
        <f>SUMPRODUCT(Pengeluaran!$F:$F,Text(Pengeluaran!$D:$D,"mmmm")=H$2,Pengeluaran!$E:$E=$B40)</f>
        <v>0</v>
      </c>
      <c r="I40" s="102">
        <f>SUMPRODUCT(Pengeluaran!$F:$F,Text(Pengeluaran!$D:$D,"mmmm")=I$2,Pengeluaran!$E:$E=$B40)</f>
        <v>0</v>
      </c>
      <c r="J40" s="102">
        <f>SUMPRODUCT(Pengeluaran!$F:$F,Text(Pengeluaran!$D:$D,"mmmm")=J$2,Pengeluaran!$E:$E=$B40)</f>
        <v>0</v>
      </c>
      <c r="K40" s="102">
        <f>SUMPRODUCT(Pengeluaran!$F:$F,Text(Pengeluaran!$D:$D,"mmmm")=K$2,Pengeluaran!$E:$E=$B40)</f>
        <v>0</v>
      </c>
      <c r="L40" s="102">
        <f>SUMPRODUCT(Pengeluaran!$F:$F,Text(Pengeluaran!$D:$D,"mmmm")=L$2,Pengeluaran!$E:$E=$B40)</f>
        <v>0</v>
      </c>
      <c r="M40" s="102">
        <f>SUMPRODUCT(Pengeluaran!$F:$F,Text(Pengeluaran!$D:$D,"mmmm")=M$2,Pengeluaran!$E:$E=$B40)</f>
        <v>0</v>
      </c>
      <c r="N40" s="102">
        <f>SUMPRODUCT(Pengeluaran!$F:$F,Text(Pengeluaran!$D:$D,"mmmm")=N$2,Pengeluaran!$E:$E=$B40)</f>
        <v>0</v>
      </c>
      <c r="O40" s="87"/>
    </row>
    <row r="41" ht="18.75" customHeight="1">
      <c r="A41" s="87"/>
      <c r="B41" s="101" t="str">
        <f>'⚙️Pengaturan'!E15</f>
        <v>Beban Pelayanan Dewasa</v>
      </c>
      <c r="C41" s="102"/>
      <c r="D41" s="102"/>
      <c r="E41" s="102"/>
      <c r="F41" s="102">
        <f>SUMPRODUCT(Pengeluaran!$F:$F,Text(Pengeluaran!$D:$D,"mmmm")=F$2,Pengeluaran!$E:$E=$B41)</f>
        <v>38000</v>
      </c>
      <c r="G41" s="102"/>
      <c r="H41" s="102"/>
      <c r="I41" s="102">
        <f>SUMPRODUCT(Pengeluaran!$F:$F,Text(Pengeluaran!$D:$D,"mmmm")=I$2,Pengeluaran!$E:$E=$B41)</f>
        <v>561000</v>
      </c>
      <c r="J41" s="102">
        <f>SUMPRODUCT(Pengeluaran!$F:$F,Text(Pengeluaran!$D:$D,"mmmm")=J$2,Pengeluaran!$E:$E=$B41)</f>
        <v>790500</v>
      </c>
      <c r="K41" s="102">
        <f>SUMPRODUCT(Pengeluaran!$F:$F,Text(Pengeluaran!$D:$D,"mmmm")=K$2,Pengeluaran!$E:$E=$B41)</f>
        <v>1054351</v>
      </c>
      <c r="L41" s="102">
        <f>SUMPRODUCT(Pengeluaran!$F:$F,Text(Pengeluaran!$D:$D,"mmmm")=L$2,Pengeluaran!$E:$E=$B41)</f>
        <v>692600</v>
      </c>
      <c r="M41" s="102">
        <f>SUMPRODUCT(Pengeluaran!$F:$F,Text(Pengeluaran!$D:$D,"mmmm")=M$2,Pengeluaran!$E:$E=$B41)</f>
        <v>220000</v>
      </c>
      <c r="N41" s="102">
        <f>SUMPRODUCT(Pengeluaran!$F:$F,Text(Pengeluaran!$D:$D,"mmmm")=N$2,Pengeluaran!$E:$E=$B41)</f>
        <v>637600</v>
      </c>
      <c r="O41" s="87"/>
    </row>
    <row r="42" ht="18.75" customHeight="1">
      <c r="A42" s="87"/>
      <c r="B42" s="101" t="str">
        <f>'⚙️Pengaturan'!E16</f>
        <v>Beban Pelayanan Anak</v>
      </c>
      <c r="C42" s="102"/>
      <c r="D42" s="102"/>
      <c r="E42" s="102"/>
      <c r="F42" s="102">
        <f>SUMPRODUCT(Pengeluaran!$F:$F,Text(Pengeluaran!$D:$D,"mmmm")=F$2,Pengeluaran!$E:$E=$B42)</f>
        <v>0</v>
      </c>
      <c r="G42" s="102"/>
      <c r="H42" s="102"/>
      <c r="I42" s="102">
        <f>SUMPRODUCT(Pengeluaran!$F:$F,Text(Pengeluaran!$D:$D,"mmmm")=I$2,Pengeluaran!$E:$E=$B42)</f>
        <v>11500</v>
      </c>
      <c r="J42" s="102">
        <f>SUMPRODUCT(Pengeluaran!$F:$F,Text(Pengeluaran!$D:$D,"mmmm")=J$2,Pengeluaran!$E:$E=$B42)</f>
        <v>0</v>
      </c>
      <c r="K42" s="102">
        <f>SUMPRODUCT(Pengeluaran!$F:$F,Text(Pengeluaran!$D:$D,"mmmm")=K$2,Pengeluaran!$E:$E=$B42)</f>
        <v>0</v>
      </c>
      <c r="L42" s="102">
        <f>SUMPRODUCT(Pengeluaran!$F:$F,Text(Pengeluaran!$D:$D,"mmmm")=L$2,Pengeluaran!$E:$E=$B42)</f>
        <v>0</v>
      </c>
      <c r="M42" s="102">
        <f>SUMPRODUCT(Pengeluaran!$F:$F,Text(Pengeluaran!$D:$D,"mmmm")=M$2,Pengeluaran!$E:$E=$B42)</f>
        <v>0</v>
      </c>
      <c r="N42" s="102">
        <f>SUMPRODUCT(Pengeluaran!$F:$F,Text(Pengeluaran!$D:$D,"mmmm")=N$2,Pengeluaran!$E:$E=$B42)</f>
        <v>0</v>
      </c>
      <c r="O42" s="87"/>
    </row>
    <row r="43" ht="18.75" customHeight="1">
      <c r="A43" s="87"/>
      <c r="B43" s="101" t="str">
        <f>'⚙️Pengaturan'!E17</f>
        <v>Beban HPP Anak</v>
      </c>
      <c r="C43" s="102"/>
      <c r="D43" s="102"/>
      <c r="E43" s="102"/>
      <c r="F43" s="102">
        <f>SUMPRODUCT(Pengeluaran!$F:$F,Text(Pengeluaran!$D:$D,"mmmm")=F$2,Pengeluaran!$E:$E=$B43)</f>
        <v>0</v>
      </c>
      <c r="G43" s="102"/>
      <c r="H43" s="102"/>
      <c r="I43" s="102">
        <f>SUMPRODUCT(Pengeluaran!$F:$F,Text(Pengeluaran!$D:$D,"mmmm")=I$2,Pengeluaran!$E:$E=$B43)</f>
        <v>0</v>
      </c>
      <c r="J43" s="102">
        <f>SUMPRODUCT(Pengeluaran!$F:$F,Text(Pengeluaran!$D:$D,"mmmm")=J$2,Pengeluaran!$E:$E=$B43)</f>
        <v>0</v>
      </c>
      <c r="K43" s="102">
        <f>SUMPRODUCT(Pengeluaran!$F:$F,Text(Pengeluaran!$D:$D,"mmmm")=K$2,Pengeluaran!$E:$E=$B43)</f>
        <v>0</v>
      </c>
      <c r="L43" s="102">
        <f>SUMPRODUCT(Pengeluaran!$F:$F,Text(Pengeluaran!$D:$D,"mmmm")=L$2,Pengeluaran!$E:$E=$B43)</f>
        <v>0</v>
      </c>
      <c r="M43" s="102">
        <f>SUMPRODUCT(Pengeluaran!$F:$F,Text(Pengeluaran!$D:$D,"mmmm")=M$2,Pengeluaran!$E:$E=$B43)</f>
        <v>0</v>
      </c>
      <c r="N43" s="102">
        <f>SUMPRODUCT(Pengeluaran!$F:$F,Text(Pengeluaran!$D:$D,"mmmm")=N$2,Pengeluaran!$E:$E=$B43)</f>
        <v>0</v>
      </c>
      <c r="O43" s="87"/>
    </row>
    <row r="44" ht="18.75" customHeight="1">
      <c r="A44" s="87"/>
      <c r="B44" s="101" t="str">
        <f>'⚙️Pengaturan'!E18</f>
        <v>Beban HPP Dewasa</v>
      </c>
      <c r="C44" s="102"/>
      <c r="D44" s="102"/>
      <c r="E44" s="102"/>
      <c r="F44" s="102">
        <f>SUMPRODUCT(Pengeluaran!$F:$F,Text(Pengeluaran!$D:$D,"mmmm")=F$2,Pengeluaran!$E:$E=$B44)</f>
        <v>0</v>
      </c>
      <c r="G44" s="102"/>
      <c r="H44" s="102"/>
      <c r="I44" s="102">
        <f>SUMPRODUCT(Pengeluaran!$F:$F,Text(Pengeluaran!$D:$D,"mmmm")=I$2,Pengeluaran!$E:$E=$B44)</f>
        <v>0</v>
      </c>
      <c r="J44" s="102">
        <f>SUMPRODUCT(Pengeluaran!$F:$F,Text(Pengeluaran!$D:$D,"mmmm")=J$2,Pengeluaran!$E:$E=$B44)</f>
        <v>0</v>
      </c>
      <c r="K44" s="102">
        <f>SUMPRODUCT(Pengeluaran!$F:$F,Text(Pengeluaran!$D:$D,"mmmm")=K$2,Pengeluaran!$E:$E=$B44)</f>
        <v>0</v>
      </c>
      <c r="L44" s="102">
        <f>SUMPRODUCT(Pengeluaran!$F:$F,Text(Pengeluaran!$D:$D,"mmmm")=L$2,Pengeluaran!$E:$E=$B44)</f>
        <v>0</v>
      </c>
      <c r="M44" s="102">
        <f>SUMPRODUCT(Pengeluaran!$F:$F,Text(Pengeluaran!$D:$D,"mmmm")=M$2,Pengeluaran!$E:$E=$B44)</f>
        <v>0</v>
      </c>
      <c r="N44" s="102">
        <f>SUMPRODUCT(Pengeluaran!$F:$F,Text(Pengeluaran!$D:$D,"mmmm")=N$2,Pengeluaran!$E:$E=$B44)</f>
        <v>0</v>
      </c>
      <c r="O44" s="87"/>
    </row>
    <row r="45" ht="18.75" customHeight="1">
      <c r="A45" s="87"/>
      <c r="B45" s="101" t="str">
        <f>'⚙️Pengaturan'!E19</f>
        <v>Beban Kebersihan</v>
      </c>
      <c r="C45" s="102"/>
      <c r="D45" s="102"/>
      <c r="E45" s="102"/>
      <c r="F45" s="102">
        <f>SUMPRODUCT(Pengeluaran!$F:$F,Text(Pengeluaran!$D:$D,"mmmm")=F$2,Pengeluaran!$E:$E=$B45)</f>
        <v>102000</v>
      </c>
      <c r="G45" s="102"/>
      <c r="H45" s="102"/>
      <c r="I45" s="102">
        <f>SUMPRODUCT(Pengeluaran!$F:$F,Text(Pengeluaran!$D:$D,"mmmm")=I$2,Pengeluaran!$E:$E=$B45)</f>
        <v>131300</v>
      </c>
      <c r="J45" s="102">
        <f>SUMPRODUCT(Pengeluaran!$F:$F,Text(Pengeluaran!$D:$D,"mmmm")=J$2,Pengeluaran!$E:$E=$B45)</f>
        <v>56000</v>
      </c>
      <c r="K45" s="102">
        <f>SUMPRODUCT(Pengeluaran!$F:$F,Text(Pengeluaran!$D:$D,"mmmm")=K$2,Pengeluaran!$E:$E=$B45)</f>
        <v>49500</v>
      </c>
      <c r="L45" s="102">
        <f>SUMPRODUCT(Pengeluaran!$F:$F,Text(Pengeluaran!$D:$D,"mmmm")=L$2,Pengeluaran!$E:$E=$B45)</f>
        <v>254600</v>
      </c>
      <c r="M45" s="102">
        <f>SUMPRODUCT(Pengeluaran!$F:$F,Text(Pengeluaran!$D:$D,"mmmm")=M$2,Pengeluaran!$E:$E=$B45)</f>
        <v>120100</v>
      </c>
      <c r="N45" s="102">
        <f>SUMPRODUCT(Pengeluaran!$F:$F,Text(Pengeluaran!$D:$D,"mmmm")=N$2,Pengeluaran!$E:$E=$B45)</f>
        <v>113500</v>
      </c>
      <c r="O45" s="87"/>
    </row>
    <row r="46" ht="18.75" customHeight="1">
      <c r="A46" s="87"/>
      <c r="B46" s="101" t="str">
        <f>'⚙️Pengaturan'!E20</f>
        <v>Beban ATK</v>
      </c>
      <c r="C46" s="102"/>
      <c r="D46" s="102"/>
      <c r="E46" s="102"/>
      <c r="F46" s="102">
        <f>SUMPRODUCT(Pengeluaran!$F:$F,Text(Pengeluaran!$D:$D,"mmmm")=F$2,Pengeluaran!$E:$E=$B46)</f>
        <v>201480</v>
      </c>
      <c r="G46" s="102"/>
      <c r="H46" s="102"/>
      <c r="I46" s="102">
        <f>SUMPRODUCT(Pengeluaran!$F:$F,Text(Pengeluaran!$D:$D,"mmmm")=I$2,Pengeluaran!$E:$E=$B46)</f>
        <v>130100</v>
      </c>
      <c r="J46" s="102">
        <f>SUMPRODUCT(Pengeluaran!$F:$F,Text(Pengeluaran!$D:$D,"mmmm")=J$2,Pengeluaran!$E:$E=$B46)</f>
        <v>79500</v>
      </c>
      <c r="K46" s="102">
        <f>SUMPRODUCT(Pengeluaran!$F:$F,Text(Pengeluaran!$D:$D,"mmmm")=K$2,Pengeluaran!$E:$E=$B46)</f>
        <v>113000</v>
      </c>
      <c r="L46" s="102">
        <f>SUMPRODUCT(Pengeluaran!$F:$F,Text(Pengeluaran!$D:$D,"mmmm")=L$2,Pengeluaran!$E:$E=$B46)</f>
        <v>27500</v>
      </c>
      <c r="M46" s="102">
        <f>SUMPRODUCT(Pengeluaran!$F:$F,Text(Pengeluaran!$D:$D,"mmmm")=M$2,Pengeluaran!$E:$E=$B46)</f>
        <v>283000</v>
      </c>
      <c r="N46" s="102">
        <f>SUMPRODUCT(Pengeluaran!$F:$F,Text(Pengeluaran!$D:$D,"mmmm")=N$2,Pengeluaran!$E:$E=$B46)</f>
        <v>5000</v>
      </c>
      <c r="O46" s="87"/>
    </row>
    <row r="47" ht="18.75" customHeight="1">
      <c r="A47" s="87"/>
      <c r="B47" s="101" t="str">
        <f>'⚙️Pengaturan'!E21</f>
        <v>Beban Parkir</v>
      </c>
      <c r="C47" s="102"/>
      <c r="D47" s="102"/>
      <c r="E47" s="102"/>
      <c r="F47" s="102">
        <f>SUMPRODUCT(Pengeluaran!$F:$F,Text(Pengeluaran!$D:$D,"mmmm")=F$2,Pengeluaran!$E:$E=$B47)</f>
        <v>18900</v>
      </c>
      <c r="G47" s="102"/>
      <c r="H47" s="102"/>
      <c r="I47" s="102">
        <f>SUMPRODUCT(Pengeluaran!$F:$F,Text(Pengeluaran!$D:$D,"mmmm")=I$2,Pengeluaran!$E:$E=$B47)</f>
        <v>2000</v>
      </c>
      <c r="J47" s="102">
        <f>SUMPRODUCT(Pengeluaran!$F:$F,Text(Pengeluaran!$D:$D,"mmmm")=J$2,Pengeluaran!$E:$E=$B47)</f>
        <v>0</v>
      </c>
      <c r="K47" s="102">
        <f>SUMPRODUCT(Pengeluaran!$F:$F,Text(Pengeluaran!$D:$D,"mmmm")=K$2,Pengeluaran!$E:$E=$B47)</f>
        <v>0</v>
      </c>
      <c r="L47" s="102">
        <f>SUMPRODUCT(Pengeluaran!$F:$F,Text(Pengeluaran!$D:$D,"mmmm")=L$2,Pengeluaran!$E:$E=$B47)</f>
        <v>0</v>
      </c>
      <c r="M47" s="102">
        <f>SUMPRODUCT(Pengeluaran!$F:$F,Text(Pengeluaran!$D:$D,"mmmm")=M$2,Pengeluaran!$E:$E=$B47)</f>
        <v>2000</v>
      </c>
      <c r="N47" s="102">
        <f>SUMPRODUCT(Pengeluaran!$F:$F,Text(Pengeluaran!$D:$D,"mmmm")=N$2,Pengeluaran!$E:$E=$B47)</f>
        <v>0</v>
      </c>
      <c r="O47" s="87"/>
    </row>
    <row r="48" ht="18.75" customHeight="1">
      <c r="A48" s="87"/>
      <c r="B48" s="101" t="str">
        <f>'⚙️Pengaturan'!E22</f>
        <v/>
      </c>
      <c r="C48" s="102"/>
      <c r="D48" s="102"/>
      <c r="E48" s="102"/>
      <c r="F48" s="102">
        <f>SUMPRODUCT(Pengeluaran!$F:$F,Text(Pengeluaran!$D:$D,"mmmm")=F$2,Pengeluaran!$E:$E=$B48)</f>
        <v>0</v>
      </c>
      <c r="G48" s="102"/>
      <c r="H48" s="102"/>
      <c r="I48" s="102">
        <f>SUMPRODUCT(Pengeluaran!$F:$F,Text(Pengeluaran!$D:$D,"mmmm")=I$2,Pengeluaran!$E:$E=$B48)</f>
        <v>0</v>
      </c>
      <c r="J48" s="102">
        <f>SUMPRODUCT(Pengeluaran!$F:$F,Text(Pengeluaran!$D:$D,"mmmm")=J$2,Pengeluaran!$E:$E=$B48)</f>
        <v>0</v>
      </c>
      <c r="K48" s="102">
        <f>SUMPRODUCT(Pengeluaran!$F:$F,Text(Pengeluaran!$D:$D,"mmmm")=K$2,Pengeluaran!$E:$E=$B48)</f>
        <v>0</v>
      </c>
      <c r="L48" s="102">
        <f>SUMPRODUCT(Pengeluaran!$F:$F,Text(Pengeluaran!$D:$D,"mmmm")=L$2,Pengeluaran!$E:$E=$B48)</f>
        <v>0</v>
      </c>
      <c r="M48" s="102">
        <f>SUMPRODUCT(Pengeluaran!$F:$F,Text(Pengeluaran!$D:$D,"mmmm")=M$2,Pengeluaran!$E:$E=$B48)</f>
        <v>0</v>
      </c>
      <c r="N48" s="102">
        <f>SUMPRODUCT(Pengeluaran!$F:$F,Text(Pengeluaran!$D:$D,"mmmm")=N$2,Pengeluaran!$E:$E=$B48)</f>
        <v>0</v>
      </c>
      <c r="O48" s="87"/>
    </row>
    <row r="49" ht="18.75" customHeight="1">
      <c r="A49" s="87"/>
      <c r="B49" s="101" t="str">
        <f>'⚙️Pengaturan'!E23</f>
        <v/>
      </c>
      <c r="C49" s="102"/>
      <c r="D49" s="102"/>
      <c r="E49" s="102"/>
      <c r="F49" s="102">
        <f>SUMPRODUCT(Pengeluaran!$F:$F,Text(Pengeluaran!$D:$D,"mmmm")=F$2,Pengeluaran!$E:$E=$B49)</f>
        <v>0</v>
      </c>
      <c r="G49" s="102"/>
      <c r="H49" s="102"/>
      <c r="I49" s="102">
        <f>SUMPRODUCT(Pengeluaran!$F:$F,Text(Pengeluaran!$D:$D,"mmmm")=I$2,Pengeluaran!$E:$E=$B49)</f>
        <v>0</v>
      </c>
      <c r="J49" s="102">
        <f>SUMPRODUCT(Pengeluaran!$F:$F,Text(Pengeluaran!$D:$D,"mmmm")=J$2,Pengeluaran!$E:$E=$B49)</f>
        <v>0</v>
      </c>
      <c r="K49" s="102">
        <f>SUMPRODUCT(Pengeluaran!$F:$F,Text(Pengeluaran!$D:$D,"mmmm")=K$2,Pengeluaran!$E:$E=$B49)</f>
        <v>0</v>
      </c>
      <c r="L49" s="102">
        <f>SUMPRODUCT(Pengeluaran!$F:$F,Text(Pengeluaran!$D:$D,"mmmm")=L$2,Pengeluaran!$E:$E=$B49)</f>
        <v>0</v>
      </c>
      <c r="M49" s="102">
        <f>SUMPRODUCT(Pengeluaran!$F:$F,Text(Pengeluaran!$D:$D,"mmmm")=M$2,Pengeluaran!$E:$E=$B49)</f>
        <v>0</v>
      </c>
      <c r="N49" s="102">
        <f>SUMPRODUCT(Pengeluaran!$F:$F,Text(Pengeluaran!$D:$D,"mmmm")=N$2,Pengeluaran!$E:$E=$B49)</f>
        <v>0</v>
      </c>
      <c r="O49" s="87"/>
    </row>
    <row r="50" ht="26.25" customHeight="1">
      <c r="A50" s="97"/>
      <c r="B50" s="98" t="s">
        <v>157</v>
      </c>
      <c r="C50" s="192">
        <f t="shared" ref="C50:H50" si="3">SUM(C29:C40)</f>
        <v>459415</v>
      </c>
      <c r="D50" s="192">
        <f t="shared" si="3"/>
        <v>0</v>
      </c>
      <c r="E50" s="192">
        <f t="shared" si="3"/>
        <v>0</v>
      </c>
      <c r="F50" s="192">
        <f t="shared" si="3"/>
        <v>205901</v>
      </c>
      <c r="G50" s="192">
        <f t="shared" si="3"/>
        <v>1340818</v>
      </c>
      <c r="H50" s="192">
        <f t="shared" si="3"/>
        <v>622402</v>
      </c>
      <c r="I50" s="192">
        <f t="shared" ref="I50:N50" si="4">SUM(I29:I49)</f>
        <v>11633263</v>
      </c>
      <c r="J50" s="192">
        <f t="shared" si="4"/>
        <v>14573025</v>
      </c>
      <c r="K50" s="192">
        <f t="shared" si="4"/>
        <v>12652475</v>
      </c>
      <c r="L50" s="192">
        <f t="shared" si="4"/>
        <v>14503161</v>
      </c>
      <c r="M50" s="192">
        <f t="shared" si="4"/>
        <v>13222833</v>
      </c>
      <c r="N50" s="192">
        <f t="shared" si="4"/>
        <v>10886372</v>
      </c>
      <c r="O50" s="97"/>
    </row>
    <row r="51" ht="7.5" customHeight="1">
      <c r="A51" s="87"/>
      <c r="B51" s="87"/>
      <c r="C51" s="88"/>
      <c r="D51" s="87"/>
      <c r="E51" s="87"/>
      <c r="F51" s="87"/>
      <c r="G51" s="87"/>
      <c r="H51" s="87"/>
      <c r="I51" s="87"/>
      <c r="J51" s="87"/>
      <c r="K51" s="87"/>
      <c r="L51" s="87"/>
      <c r="M51" s="87"/>
      <c r="N51" s="87"/>
      <c r="O51" s="87"/>
    </row>
    <row r="52" ht="22.5" customHeight="1">
      <c r="A52" s="193"/>
      <c r="B52" s="194" t="s">
        <v>412</v>
      </c>
      <c r="C52" s="95"/>
      <c r="D52" s="95"/>
      <c r="E52" s="95"/>
      <c r="F52" s="95"/>
      <c r="G52" s="95"/>
      <c r="H52" s="95"/>
      <c r="I52" s="95"/>
      <c r="J52" s="95"/>
      <c r="K52" s="95"/>
      <c r="L52" s="95"/>
      <c r="M52" s="95"/>
      <c r="N52" s="96"/>
      <c r="O52" s="193"/>
    </row>
    <row r="53" ht="18.75" customHeight="1">
      <c r="A53" s="87"/>
      <c r="B53" s="195" t="s">
        <v>413</v>
      </c>
      <c r="C53" s="102">
        <f t="shared" ref="C53:N53" si="5">C26-C50</f>
        <v>27445585</v>
      </c>
      <c r="D53" s="102">
        <f t="shared" si="5"/>
        <v>14150000</v>
      </c>
      <c r="E53" s="102">
        <f t="shared" si="5"/>
        <v>16200000</v>
      </c>
      <c r="F53" s="102">
        <f t="shared" si="5"/>
        <v>11644099</v>
      </c>
      <c r="G53" s="102">
        <f t="shared" si="5"/>
        <v>12609182</v>
      </c>
      <c r="H53" s="102">
        <f t="shared" si="5"/>
        <v>9377598</v>
      </c>
      <c r="I53" s="102">
        <f t="shared" si="5"/>
        <v>22056737</v>
      </c>
      <c r="J53" s="102">
        <f t="shared" si="5"/>
        <v>21166975</v>
      </c>
      <c r="K53" s="102">
        <f t="shared" si="5"/>
        <v>16802525</v>
      </c>
      <c r="L53" s="102">
        <f t="shared" si="5"/>
        <v>20271839</v>
      </c>
      <c r="M53" s="102">
        <f t="shared" si="5"/>
        <v>9252167</v>
      </c>
      <c r="N53" s="102">
        <f t="shared" si="5"/>
        <v>11588628</v>
      </c>
      <c r="O53" s="87"/>
    </row>
    <row r="54" ht="18.75" customHeight="1">
      <c r="A54" s="87"/>
      <c r="B54" s="195" t="s">
        <v>414</v>
      </c>
      <c r="C54" s="102"/>
      <c r="D54" s="102"/>
      <c r="E54" s="102"/>
      <c r="F54" s="102"/>
      <c r="G54" s="102"/>
      <c r="H54" s="102"/>
      <c r="I54" s="102"/>
      <c r="J54" s="102"/>
      <c r="K54" s="102"/>
      <c r="L54" s="102"/>
      <c r="M54" s="102"/>
      <c r="N54" s="102"/>
      <c r="O54" s="87"/>
    </row>
    <row r="55" ht="26.25" customHeight="1">
      <c r="A55" s="193"/>
      <c r="B55" s="98" t="s">
        <v>126</v>
      </c>
      <c r="C55" s="192">
        <f t="shared" ref="C55:N55" si="6">C53-C54</f>
        <v>27445585</v>
      </c>
      <c r="D55" s="192">
        <f t="shared" si="6"/>
        <v>14150000</v>
      </c>
      <c r="E55" s="192">
        <f t="shared" si="6"/>
        <v>16200000</v>
      </c>
      <c r="F55" s="192">
        <f t="shared" si="6"/>
        <v>11644099</v>
      </c>
      <c r="G55" s="192">
        <f t="shared" si="6"/>
        <v>12609182</v>
      </c>
      <c r="H55" s="192">
        <f t="shared" si="6"/>
        <v>9377598</v>
      </c>
      <c r="I55" s="192">
        <f t="shared" si="6"/>
        <v>22056737</v>
      </c>
      <c r="J55" s="192">
        <f t="shared" si="6"/>
        <v>21166975</v>
      </c>
      <c r="K55" s="192">
        <f t="shared" si="6"/>
        <v>16802525</v>
      </c>
      <c r="L55" s="192">
        <f t="shared" si="6"/>
        <v>20271839</v>
      </c>
      <c r="M55" s="192">
        <f t="shared" si="6"/>
        <v>9252167</v>
      </c>
      <c r="N55" s="192">
        <f t="shared" si="6"/>
        <v>11588628</v>
      </c>
      <c r="O55" s="196">
        <f>SUM(I55:N56)</f>
        <v>101138871</v>
      </c>
    </row>
    <row r="56" ht="11.25" customHeight="1">
      <c r="A56" s="87"/>
      <c r="B56" s="87"/>
      <c r="C56" s="88"/>
      <c r="D56" s="88"/>
      <c r="E56" s="88"/>
      <c r="F56" s="88"/>
      <c r="G56" s="88"/>
      <c r="H56" s="88"/>
      <c r="I56" s="88"/>
      <c r="J56" s="88"/>
      <c r="K56" s="88"/>
      <c r="L56" s="88"/>
      <c r="M56" s="88"/>
      <c r="N56" s="88"/>
      <c r="O56" s="87"/>
    </row>
  </sheetData>
  <mergeCells count="4">
    <mergeCell ref="B4:N4"/>
    <mergeCell ref="B7:N7"/>
    <mergeCell ref="B28:N28"/>
    <mergeCell ref="B52:N52"/>
  </mergeCells>
  <conditionalFormatting sqref="C55:N55">
    <cfRule type="beginsWith" dxfId="1" priority="1" operator="beginsWith" text="-">
      <formula>LEFT((C55),LEN("-"))=("-")</formula>
    </cfRule>
  </conditionalFormatting>
  <conditionalFormatting sqref="C8:N25 C53:N54">
    <cfRule type="cellIs" dxfId="2" priority="2" operator="lessThan">
      <formula>1</formula>
    </cfRule>
  </conditionalFormatting>
  <conditionalFormatting sqref="C29:N49">
    <cfRule type="cellIs" dxfId="2" priority="3" operator="lessThan">
      <formula>1</formula>
    </cfRule>
  </conditionalFormatting>
  <conditionalFormatting sqref="C5:N5">
    <cfRule type="cellIs" dxfId="3" priority="4" operator="lessThan">
      <formula>1</formula>
    </cfRule>
  </conditionalFormatting>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showGridLines="0" workbookViewId="0"/>
  </sheetViews>
  <sheetFormatPr customHeight="1" defaultColWidth="12.63" defaultRowHeight="15.75"/>
  <cols>
    <col customWidth="1" min="1" max="1" width="2.0"/>
    <col customWidth="1" min="2" max="2" width="28.38"/>
    <col customWidth="1" min="3" max="3" width="27.5"/>
    <col customWidth="1" min="4" max="4" width="26.75"/>
    <col customWidth="1" min="5" max="5" width="28.25"/>
    <col customWidth="1" min="6" max="6" width="24.5"/>
    <col customWidth="1" min="7" max="7" width="2.0"/>
  </cols>
  <sheetData>
    <row r="1" ht="11.25" customHeight="1">
      <c r="A1" s="2"/>
      <c r="B1" s="2"/>
      <c r="C1" s="2"/>
      <c r="D1" s="168"/>
      <c r="E1" s="2"/>
      <c r="F1" s="2"/>
      <c r="G1" s="2"/>
    </row>
    <row r="2" ht="26.25" customHeight="1">
      <c r="A2" s="171"/>
      <c r="B2" s="172" t="s">
        <v>323</v>
      </c>
      <c r="C2" s="172" t="s">
        <v>325</v>
      </c>
      <c r="D2" s="173" t="s">
        <v>326</v>
      </c>
      <c r="E2" s="172" t="s">
        <v>327</v>
      </c>
      <c r="F2" s="172" t="s">
        <v>11</v>
      </c>
      <c r="G2" s="171"/>
    </row>
    <row r="3">
      <c r="A3" s="2"/>
      <c r="B3" s="174" t="s">
        <v>328</v>
      </c>
      <c r="C3" s="175" t="s">
        <v>329</v>
      </c>
      <c r="D3" s="176">
        <v>750000.0</v>
      </c>
      <c r="E3" s="177" t="s">
        <v>179</v>
      </c>
      <c r="F3" s="174" t="s">
        <v>63</v>
      </c>
      <c r="G3" s="2"/>
    </row>
    <row r="4">
      <c r="A4" s="2"/>
      <c r="B4" s="178"/>
      <c r="C4" s="175" t="s">
        <v>331</v>
      </c>
      <c r="D4" s="176">
        <v>1400000.0</v>
      </c>
      <c r="E4" s="177" t="s">
        <v>35</v>
      </c>
      <c r="F4" s="174" t="s">
        <v>28</v>
      </c>
      <c r="G4" s="2"/>
    </row>
    <row r="5">
      <c r="A5" s="2"/>
      <c r="B5" s="178"/>
      <c r="C5" s="179" t="s">
        <v>332</v>
      </c>
      <c r="D5" s="180">
        <v>1300000.0</v>
      </c>
      <c r="E5" s="177" t="s">
        <v>333</v>
      </c>
      <c r="F5" s="174"/>
      <c r="G5" s="2"/>
    </row>
    <row r="6">
      <c r="A6" s="2"/>
      <c r="B6" s="178"/>
      <c r="C6" s="175" t="s">
        <v>334</v>
      </c>
      <c r="D6" s="181">
        <v>175000.0</v>
      </c>
      <c r="E6" s="177" t="s">
        <v>68</v>
      </c>
      <c r="F6" s="174"/>
      <c r="G6" s="2"/>
    </row>
    <row r="7">
      <c r="A7" s="2"/>
      <c r="B7" s="178"/>
      <c r="C7" s="175" t="s">
        <v>336</v>
      </c>
      <c r="D7" s="181">
        <v>225000.0</v>
      </c>
      <c r="E7" s="177" t="s">
        <v>86</v>
      </c>
      <c r="F7" s="174"/>
      <c r="G7" s="2"/>
    </row>
    <row r="8">
      <c r="A8" s="2"/>
      <c r="B8" s="178"/>
      <c r="C8" s="175" t="s">
        <v>337</v>
      </c>
      <c r="D8" s="181">
        <v>275000.0</v>
      </c>
      <c r="E8" s="177" t="s">
        <v>207</v>
      </c>
      <c r="F8" s="174"/>
      <c r="G8" s="2"/>
    </row>
    <row r="9">
      <c r="A9" s="2"/>
      <c r="B9" s="178"/>
      <c r="C9" s="175" t="s">
        <v>338</v>
      </c>
      <c r="D9" s="181">
        <v>2000000.0</v>
      </c>
      <c r="E9" s="177" t="s">
        <v>339</v>
      </c>
      <c r="F9" s="174"/>
      <c r="G9" s="2"/>
    </row>
    <row r="10">
      <c r="A10" s="2"/>
      <c r="B10" s="178"/>
      <c r="C10" s="175" t="s">
        <v>340</v>
      </c>
      <c r="D10" s="181">
        <v>2050000.0</v>
      </c>
      <c r="E10" s="177" t="s">
        <v>138</v>
      </c>
      <c r="F10" s="174"/>
      <c r="G10" s="2"/>
    </row>
    <row r="11">
      <c r="A11" s="2"/>
      <c r="B11" s="178"/>
      <c r="C11" s="175" t="s">
        <v>24</v>
      </c>
      <c r="D11" s="181">
        <v>250000.0</v>
      </c>
      <c r="E11" s="177" t="s">
        <v>105</v>
      </c>
      <c r="F11" s="174"/>
      <c r="G11" s="2"/>
    </row>
    <row r="12">
      <c r="A12" s="2"/>
      <c r="B12" s="178"/>
      <c r="C12" s="175" t="s">
        <v>53</v>
      </c>
      <c r="D12" s="181">
        <v>650000.0</v>
      </c>
      <c r="E12" s="177" t="s">
        <v>341</v>
      </c>
      <c r="F12" s="174"/>
      <c r="G12" s="2"/>
    </row>
    <row r="13">
      <c r="A13" s="2"/>
      <c r="B13" s="178"/>
      <c r="C13" s="175" t="s">
        <v>67</v>
      </c>
      <c r="D13" s="181">
        <v>1200000.0</v>
      </c>
      <c r="E13" s="177" t="s">
        <v>89</v>
      </c>
      <c r="F13" s="174"/>
      <c r="G13" s="2"/>
    </row>
    <row r="14">
      <c r="A14" s="2"/>
      <c r="B14" s="178"/>
      <c r="C14" s="175" t="s">
        <v>44</v>
      </c>
      <c r="D14" s="181">
        <v>150000.0</v>
      </c>
      <c r="E14" s="177" t="s">
        <v>342</v>
      </c>
      <c r="F14" s="174"/>
      <c r="G14" s="2"/>
    </row>
    <row r="15">
      <c r="A15" s="2"/>
      <c r="B15" s="178"/>
      <c r="C15" s="175" t="s">
        <v>116</v>
      </c>
      <c r="D15" s="181">
        <v>300000.0</v>
      </c>
      <c r="E15" s="177" t="s">
        <v>55</v>
      </c>
      <c r="F15" s="174"/>
      <c r="G15" s="2"/>
    </row>
    <row r="16">
      <c r="A16" s="2"/>
      <c r="B16" s="178"/>
      <c r="C16" s="175" t="s">
        <v>343</v>
      </c>
      <c r="D16" s="181">
        <v>350000.0</v>
      </c>
      <c r="E16" s="177" t="s">
        <v>177</v>
      </c>
      <c r="F16" s="174"/>
      <c r="G16" s="2"/>
    </row>
    <row r="17">
      <c r="A17" s="2"/>
      <c r="B17" s="178"/>
      <c r="C17" s="175" t="s">
        <v>124</v>
      </c>
      <c r="D17" s="181">
        <v>200000.0</v>
      </c>
      <c r="E17" s="177" t="s">
        <v>344</v>
      </c>
      <c r="F17" s="174"/>
      <c r="G17" s="2"/>
    </row>
    <row r="18">
      <c r="A18" s="2"/>
      <c r="B18" s="178"/>
      <c r="C18" s="175" t="s">
        <v>345</v>
      </c>
      <c r="D18" s="181">
        <v>250000.0</v>
      </c>
      <c r="E18" s="177" t="s">
        <v>346</v>
      </c>
      <c r="F18" s="174"/>
      <c r="G18" s="2"/>
    </row>
    <row r="19">
      <c r="A19" s="2"/>
      <c r="B19" s="178"/>
      <c r="C19" s="175" t="s">
        <v>133</v>
      </c>
      <c r="D19" s="181">
        <v>1800000.0</v>
      </c>
      <c r="E19" s="177" t="s">
        <v>25</v>
      </c>
      <c r="F19" s="177"/>
      <c r="G19" s="2"/>
    </row>
    <row r="20">
      <c r="A20" s="2"/>
      <c r="B20" s="178"/>
      <c r="C20" s="175" t="s">
        <v>347</v>
      </c>
      <c r="D20" s="181">
        <v>2300000.0</v>
      </c>
      <c r="E20" s="177" t="s">
        <v>64</v>
      </c>
      <c r="F20" s="177"/>
      <c r="G20" s="2"/>
    </row>
    <row r="21">
      <c r="A21" s="2"/>
      <c r="B21" s="178"/>
      <c r="C21" s="175"/>
      <c r="D21" s="176"/>
      <c r="E21" s="177" t="s">
        <v>59</v>
      </c>
      <c r="F21" s="177"/>
      <c r="G21" s="2"/>
    </row>
    <row r="22">
      <c r="A22" s="2"/>
      <c r="B22" s="178"/>
      <c r="C22" s="175"/>
      <c r="D22" s="176"/>
      <c r="F22" s="177"/>
      <c r="G22" s="2"/>
    </row>
    <row r="23">
      <c r="A23" s="2"/>
      <c r="B23" s="178"/>
      <c r="C23" s="175"/>
      <c r="D23" s="176"/>
      <c r="F23" s="177"/>
      <c r="G23" s="2"/>
    </row>
    <row r="24">
      <c r="A24" s="2"/>
      <c r="B24" s="178"/>
      <c r="C24" s="175"/>
      <c r="D24" s="176"/>
      <c r="F24" s="177"/>
      <c r="G24" s="2"/>
    </row>
    <row r="25">
      <c r="A25" s="2"/>
      <c r="B25" s="178"/>
      <c r="C25" s="175"/>
      <c r="D25" s="176"/>
      <c r="F25" s="177"/>
      <c r="G25" s="2"/>
    </row>
    <row r="26">
      <c r="A26" s="2"/>
      <c r="B26" s="178"/>
      <c r="C26" s="175"/>
      <c r="D26" s="176"/>
      <c r="F26" s="177"/>
      <c r="G26" s="2"/>
    </row>
    <row r="27">
      <c r="A27" s="2"/>
      <c r="B27" s="178"/>
      <c r="C27" s="174"/>
      <c r="D27" s="182"/>
      <c r="F27" s="177"/>
      <c r="G27" s="2"/>
    </row>
    <row r="28">
      <c r="A28" s="2"/>
      <c r="B28" s="178"/>
      <c r="C28" s="174"/>
      <c r="D28" s="182"/>
      <c r="F28" s="177"/>
      <c r="G28" s="2"/>
    </row>
    <row r="29">
      <c r="A29" s="2"/>
      <c r="B29" s="178"/>
      <c r="C29" s="174"/>
      <c r="D29" s="182"/>
      <c r="F29" s="177"/>
      <c r="G29" s="2"/>
    </row>
    <row r="30">
      <c r="A30" s="2"/>
      <c r="B30" s="178"/>
      <c r="C30" s="178"/>
      <c r="D30" s="183"/>
      <c r="F30" s="177"/>
      <c r="G30" s="2"/>
    </row>
    <row r="31">
      <c r="A31" s="2"/>
      <c r="B31" s="178"/>
      <c r="C31" s="178"/>
      <c r="D31" s="183"/>
      <c r="E31" s="177"/>
      <c r="F31" s="177"/>
      <c r="G31" s="2"/>
    </row>
    <row r="32">
      <c r="A32" s="2"/>
      <c r="B32" s="178"/>
      <c r="C32" s="178"/>
      <c r="D32" s="183"/>
      <c r="E32" s="177"/>
      <c r="F32" s="177"/>
      <c r="G32" s="2"/>
    </row>
    <row r="33">
      <c r="A33" s="2"/>
      <c r="B33" s="178"/>
      <c r="C33" s="178"/>
      <c r="D33" s="183"/>
      <c r="E33" s="177"/>
      <c r="F33" s="177"/>
      <c r="G33" s="2"/>
    </row>
    <row r="34">
      <c r="A34" s="2"/>
      <c r="B34" s="178"/>
      <c r="C34" s="178"/>
      <c r="D34" s="183"/>
      <c r="E34" s="177"/>
      <c r="F34" s="177"/>
      <c r="G34" s="2"/>
    </row>
    <row r="35">
      <c r="A35" s="2"/>
      <c r="B35" s="178"/>
      <c r="C35" s="178"/>
      <c r="D35" s="183"/>
      <c r="E35" s="177"/>
      <c r="F35" s="177"/>
      <c r="G35" s="2"/>
    </row>
    <row r="36">
      <c r="A36" s="2"/>
      <c r="B36" s="178"/>
      <c r="C36" s="178"/>
      <c r="D36" s="183"/>
      <c r="E36" s="177"/>
      <c r="F36" s="177"/>
      <c r="G36" s="2"/>
    </row>
    <row r="37">
      <c r="A37" s="2"/>
      <c r="B37" s="178"/>
      <c r="C37" s="178"/>
      <c r="D37" s="183"/>
      <c r="E37" s="177"/>
      <c r="F37" s="177"/>
      <c r="G37" s="2"/>
    </row>
    <row r="38">
      <c r="A38" s="2"/>
      <c r="B38" s="178"/>
      <c r="C38" s="178"/>
      <c r="D38" s="183"/>
      <c r="E38" s="177"/>
      <c r="F38" s="177"/>
      <c r="G38" s="2"/>
    </row>
    <row r="39">
      <c r="A39" s="2"/>
      <c r="B39" s="178"/>
      <c r="C39" s="178"/>
      <c r="D39" s="183"/>
      <c r="E39" s="177"/>
      <c r="F39" s="177"/>
      <c r="G39" s="2"/>
    </row>
    <row r="40">
      <c r="A40" s="2"/>
      <c r="B40" s="178"/>
      <c r="C40" s="178"/>
      <c r="D40" s="183"/>
      <c r="E40" s="177"/>
      <c r="F40" s="177"/>
      <c r="G40" s="2"/>
    </row>
    <row r="41">
      <c r="A41" s="2"/>
      <c r="B41" s="178"/>
      <c r="C41" s="178"/>
      <c r="D41" s="183"/>
      <c r="E41" s="177"/>
      <c r="F41" s="177"/>
      <c r="G41" s="2"/>
    </row>
    <row r="42">
      <c r="A42" s="2"/>
      <c r="B42" s="178"/>
      <c r="C42" s="178"/>
      <c r="D42" s="183"/>
      <c r="E42" s="177"/>
      <c r="F42" s="177"/>
      <c r="G42" s="2"/>
    </row>
    <row r="43">
      <c r="A43" s="2"/>
      <c r="B43" s="178"/>
      <c r="C43" s="178"/>
      <c r="D43" s="183"/>
      <c r="E43" s="177"/>
      <c r="F43" s="177"/>
      <c r="G43" s="2"/>
    </row>
    <row r="44">
      <c r="A44" s="2"/>
      <c r="B44" s="178"/>
      <c r="C44" s="178"/>
      <c r="D44" s="183"/>
      <c r="E44" s="177"/>
      <c r="F44" s="177"/>
      <c r="G44" s="2"/>
    </row>
    <row r="45">
      <c r="A45" s="2"/>
      <c r="B45" s="178"/>
      <c r="C45" s="178"/>
      <c r="D45" s="183"/>
      <c r="E45" s="177"/>
      <c r="F45" s="177"/>
      <c r="G45" s="2"/>
    </row>
    <row r="46">
      <c r="A46" s="2"/>
      <c r="B46" s="178"/>
      <c r="C46" s="178"/>
      <c r="D46" s="183"/>
      <c r="E46" s="177"/>
      <c r="F46" s="177"/>
      <c r="G46" s="2"/>
    </row>
    <row r="47">
      <c r="A47" s="2"/>
      <c r="B47" s="178"/>
      <c r="C47" s="178"/>
      <c r="D47" s="183"/>
      <c r="E47" s="177"/>
      <c r="F47" s="177"/>
      <c r="G47" s="2"/>
    </row>
    <row r="48">
      <c r="A48" s="2"/>
      <c r="B48" s="178"/>
      <c r="C48" s="178"/>
      <c r="D48" s="183"/>
      <c r="E48" s="177"/>
      <c r="F48" s="177"/>
      <c r="G48" s="2"/>
    </row>
    <row r="49">
      <c r="A49" s="2"/>
      <c r="B49" s="178"/>
      <c r="C49" s="178"/>
      <c r="D49" s="183"/>
      <c r="E49" s="177"/>
      <c r="F49" s="177"/>
      <c r="G49" s="2"/>
    </row>
    <row r="50">
      <c r="A50" s="2"/>
      <c r="B50" s="178"/>
      <c r="C50" s="178"/>
      <c r="D50" s="183"/>
      <c r="E50" s="177"/>
      <c r="F50" s="177"/>
      <c r="G50" s="2"/>
    </row>
    <row r="51">
      <c r="A51" s="2"/>
      <c r="B51" s="178"/>
      <c r="C51" s="178"/>
      <c r="D51" s="183"/>
      <c r="E51" s="177"/>
      <c r="F51" s="177"/>
      <c r="G51" s="2"/>
    </row>
    <row r="52">
      <c r="A52" s="2"/>
      <c r="B52" s="178"/>
      <c r="C52" s="178"/>
      <c r="D52" s="183"/>
      <c r="E52" s="177"/>
      <c r="F52" s="177"/>
      <c r="G52" s="2"/>
    </row>
    <row r="53">
      <c r="A53" s="2"/>
      <c r="B53" s="178"/>
      <c r="C53" s="178"/>
      <c r="D53" s="183"/>
      <c r="E53" s="177"/>
      <c r="F53" s="177"/>
      <c r="G53" s="2"/>
    </row>
    <row r="54">
      <c r="A54" s="2"/>
      <c r="B54" s="178"/>
      <c r="C54" s="178"/>
      <c r="D54" s="183"/>
      <c r="E54" s="177"/>
      <c r="F54" s="177"/>
      <c r="G54" s="2"/>
    </row>
    <row r="55">
      <c r="A55" s="2"/>
      <c r="B55" s="178"/>
      <c r="C55" s="178"/>
      <c r="D55" s="183"/>
      <c r="E55" s="177"/>
      <c r="F55" s="177"/>
      <c r="G55" s="2"/>
    </row>
    <row r="56">
      <c r="A56" s="2"/>
      <c r="B56" s="178"/>
      <c r="C56" s="178"/>
      <c r="D56" s="183"/>
      <c r="E56" s="177"/>
      <c r="F56" s="177"/>
      <c r="G56" s="2"/>
    </row>
    <row r="57">
      <c r="A57" s="2"/>
      <c r="B57" s="178"/>
      <c r="C57" s="178"/>
      <c r="D57" s="183"/>
      <c r="E57" s="177"/>
      <c r="F57" s="177"/>
      <c r="G57" s="2"/>
    </row>
    <row r="58">
      <c r="A58" s="2"/>
      <c r="B58" s="178"/>
      <c r="C58" s="178"/>
      <c r="D58" s="183"/>
      <c r="E58" s="177"/>
      <c r="F58" s="177"/>
      <c r="G58" s="2"/>
    </row>
    <row r="59">
      <c r="A59" s="2"/>
      <c r="B59" s="178"/>
      <c r="C59" s="178"/>
      <c r="D59" s="183"/>
      <c r="E59" s="177"/>
      <c r="F59" s="177"/>
      <c r="G59" s="2"/>
    </row>
    <row r="60">
      <c r="A60" s="2"/>
      <c r="B60" s="178"/>
      <c r="C60" s="178"/>
      <c r="D60" s="183"/>
      <c r="E60" s="177"/>
      <c r="F60" s="177"/>
      <c r="G60" s="2"/>
    </row>
    <row r="61">
      <c r="A61" s="2"/>
      <c r="B61" s="178"/>
      <c r="C61" s="178"/>
      <c r="D61" s="183"/>
      <c r="E61" s="177"/>
      <c r="F61" s="177"/>
      <c r="G61" s="2"/>
    </row>
    <row r="62">
      <c r="A62" s="2"/>
      <c r="B62" s="178"/>
      <c r="C62" s="178"/>
      <c r="D62" s="183"/>
      <c r="E62" s="177"/>
      <c r="F62" s="177"/>
      <c r="G62" s="2"/>
    </row>
    <row r="63">
      <c r="A63" s="2"/>
      <c r="B63" s="178"/>
      <c r="C63" s="178"/>
      <c r="D63" s="183"/>
      <c r="E63" s="177"/>
      <c r="F63" s="177"/>
      <c r="G63" s="2"/>
    </row>
    <row r="64">
      <c r="A64" s="2"/>
      <c r="B64" s="178"/>
      <c r="C64" s="178"/>
      <c r="D64" s="183"/>
      <c r="E64" s="177"/>
      <c r="F64" s="177"/>
      <c r="G64" s="2"/>
    </row>
    <row r="65">
      <c r="A65" s="2"/>
      <c r="B65" s="178"/>
      <c r="C65" s="178"/>
      <c r="D65" s="183"/>
      <c r="E65" s="177"/>
      <c r="F65" s="177"/>
      <c r="G65" s="2"/>
    </row>
    <row r="66">
      <c r="A66" s="2"/>
      <c r="B66" s="178"/>
      <c r="C66" s="178"/>
      <c r="D66" s="183"/>
      <c r="E66" s="177"/>
      <c r="F66" s="177"/>
      <c r="G66" s="2"/>
    </row>
    <row r="67">
      <c r="A67" s="2"/>
      <c r="B67" s="178"/>
      <c r="C67" s="178"/>
      <c r="D67" s="183"/>
      <c r="E67" s="177"/>
      <c r="F67" s="177"/>
      <c r="G67" s="2"/>
    </row>
    <row r="68">
      <c r="A68" s="2"/>
      <c r="B68" s="178"/>
      <c r="C68" s="178"/>
      <c r="D68" s="183"/>
      <c r="E68" s="177"/>
      <c r="F68" s="177"/>
      <c r="G68" s="2"/>
    </row>
    <row r="69">
      <c r="A69" s="2"/>
      <c r="B69" s="178"/>
      <c r="C69" s="178"/>
      <c r="D69" s="183"/>
      <c r="E69" s="177"/>
      <c r="F69" s="177"/>
      <c r="G69" s="2"/>
    </row>
    <row r="70">
      <c r="A70" s="2"/>
      <c r="B70" s="178"/>
      <c r="C70" s="178"/>
      <c r="D70" s="183"/>
      <c r="E70" s="177"/>
      <c r="F70" s="177"/>
      <c r="G70" s="2"/>
    </row>
    <row r="71">
      <c r="A71" s="2"/>
      <c r="B71" s="178"/>
      <c r="C71" s="178"/>
      <c r="D71" s="183"/>
      <c r="E71" s="177"/>
      <c r="F71" s="177"/>
      <c r="G71" s="2"/>
    </row>
    <row r="72">
      <c r="A72" s="2"/>
      <c r="B72" s="178"/>
      <c r="C72" s="178"/>
      <c r="D72" s="183"/>
      <c r="E72" s="177"/>
      <c r="F72" s="177"/>
      <c r="G72" s="2"/>
    </row>
    <row r="73">
      <c r="A73" s="2"/>
      <c r="B73" s="178"/>
      <c r="C73" s="178"/>
      <c r="D73" s="183"/>
      <c r="E73" s="177"/>
      <c r="F73" s="177"/>
      <c r="G73" s="2"/>
    </row>
    <row r="74">
      <c r="A74" s="2"/>
      <c r="B74" s="178"/>
      <c r="C74" s="178"/>
      <c r="D74" s="183"/>
      <c r="E74" s="177"/>
      <c r="F74" s="177"/>
      <c r="G74" s="2"/>
    </row>
    <row r="75">
      <c r="A75" s="2"/>
      <c r="B75" s="178"/>
      <c r="C75" s="178"/>
      <c r="D75" s="183"/>
      <c r="E75" s="177"/>
      <c r="F75" s="177"/>
      <c r="G75" s="2"/>
    </row>
    <row r="76">
      <c r="A76" s="2"/>
      <c r="B76" s="178"/>
      <c r="C76" s="178"/>
      <c r="D76" s="183"/>
      <c r="E76" s="177"/>
      <c r="F76" s="177"/>
      <c r="G76" s="2"/>
    </row>
    <row r="77">
      <c r="A77" s="2"/>
      <c r="B77" s="178"/>
      <c r="C77" s="178"/>
      <c r="D77" s="183"/>
      <c r="E77" s="177"/>
      <c r="F77" s="177"/>
      <c r="G77" s="2"/>
    </row>
    <row r="78">
      <c r="A78" s="2"/>
      <c r="B78" s="178"/>
      <c r="C78" s="178"/>
      <c r="D78" s="183"/>
      <c r="E78" s="177"/>
      <c r="F78" s="177"/>
      <c r="G78" s="2"/>
    </row>
    <row r="79">
      <c r="A79" s="2"/>
      <c r="B79" s="178"/>
      <c r="C79" s="178"/>
      <c r="D79" s="183"/>
      <c r="E79" s="177"/>
      <c r="F79" s="177"/>
      <c r="G79" s="2"/>
    </row>
    <row r="80">
      <c r="A80" s="2"/>
      <c r="B80" s="178"/>
      <c r="C80" s="178"/>
      <c r="D80" s="183"/>
      <c r="E80" s="177"/>
      <c r="F80" s="177"/>
      <c r="G80" s="2"/>
    </row>
    <row r="81">
      <c r="A81" s="2"/>
      <c r="B81" s="178"/>
      <c r="C81" s="178"/>
      <c r="D81" s="183"/>
      <c r="E81" s="177"/>
      <c r="F81" s="177"/>
      <c r="G81" s="2"/>
    </row>
    <row r="82">
      <c r="A82" s="2"/>
      <c r="B82" s="178"/>
      <c r="C82" s="178"/>
      <c r="D82" s="183"/>
      <c r="E82" s="177"/>
      <c r="F82" s="177"/>
      <c r="G82" s="2"/>
    </row>
    <row r="83">
      <c r="A83" s="2"/>
      <c r="B83" s="178"/>
      <c r="C83" s="178"/>
      <c r="D83" s="183"/>
      <c r="E83" s="177"/>
      <c r="F83" s="177"/>
      <c r="G83" s="2"/>
    </row>
    <row r="84">
      <c r="A84" s="2"/>
      <c r="B84" s="178"/>
      <c r="C84" s="178"/>
      <c r="D84" s="183"/>
      <c r="E84" s="177"/>
      <c r="F84" s="177"/>
      <c r="G84" s="2"/>
    </row>
    <row r="85">
      <c r="A85" s="2"/>
      <c r="B85" s="178"/>
      <c r="C85" s="178"/>
      <c r="D85" s="183"/>
      <c r="E85" s="177"/>
      <c r="F85" s="177"/>
      <c r="G85" s="2"/>
    </row>
    <row r="86">
      <c r="A86" s="2"/>
      <c r="B86" s="178"/>
      <c r="C86" s="178"/>
      <c r="D86" s="183"/>
      <c r="E86" s="177"/>
      <c r="F86" s="177"/>
      <c r="G86" s="2"/>
    </row>
    <row r="87">
      <c r="A87" s="2"/>
      <c r="B87" s="178"/>
      <c r="C87" s="178"/>
      <c r="D87" s="183"/>
      <c r="E87" s="177"/>
      <c r="F87" s="177"/>
      <c r="G87" s="2"/>
    </row>
    <row r="88">
      <c r="A88" s="2"/>
      <c r="B88" s="178"/>
      <c r="C88" s="178"/>
      <c r="D88" s="183"/>
      <c r="E88" s="177"/>
      <c r="F88" s="177"/>
      <c r="G88" s="2"/>
    </row>
    <row r="89">
      <c r="A89" s="2"/>
      <c r="B89" s="178"/>
      <c r="C89" s="178"/>
      <c r="D89" s="183"/>
      <c r="E89" s="177"/>
      <c r="F89" s="177"/>
      <c r="G89" s="2"/>
    </row>
    <row r="90">
      <c r="A90" s="2"/>
      <c r="B90" s="178"/>
      <c r="C90" s="178"/>
      <c r="D90" s="183"/>
      <c r="E90" s="177"/>
      <c r="F90" s="177"/>
      <c r="G90" s="2"/>
    </row>
    <row r="91">
      <c r="A91" s="2"/>
      <c r="B91" s="178"/>
      <c r="C91" s="178"/>
      <c r="D91" s="183"/>
      <c r="E91" s="177"/>
      <c r="F91" s="177"/>
      <c r="G91" s="2"/>
    </row>
    <row r="92">
      <c r="A92" s="2"/>
      <c r="B92" s="178"/>
      <c r="C92" s="178"/>
      <c r="D92" s="183"/>
      <c r="E92" s="177"/>
      <c r="F92" s="177"/>
      <c r="G92" s="2"/>
    </row>
    <row r="93">
      <c r="A93" s="2"/>
      <c r="B93" s="178"/>
      <c r="C93" s="178"/>
      <c r="D93" s="183"/>
      <c r="E93" s="177"/>
      <c r="F93" s="177"/>
      <c r="G93" s="2"/>
    </row>
    <row r="94">
      <c r="A94" s="2"/>
      <c r="B94" s="178"/>
      <c r="C94" s="178"/>
      <c r="D94" s="183"/>
      <c r="E94" s="177"/>
      <c r="F94" s="177"/>
      <c r="G94" s="2"/>
    </row>
    <row r="95">
      <c r="A95" s="2"/>
      <c r="B95" s="178"/>
      <c r="C95" s="178"/>
      <c r="D95" s="183"/>
      <c r="E95" s="177"/>
      <c r="F95" s="177"/>
      <c r="G95" s="2"/>
    </row>
    <row r="96">
      <c r="A96" s="2"/>
      <c r="B96" s="178"/>
      <c r="C96" s="178"/>
      <c r="D96" s="183"/>
      <c r="E96" s="177"/>
      <c r="F96" s="177"/>
      <c r="G96" s="2"/>
    </row>
    <row r="97">
      <c r="A97" s="2"/>
      <c r="B97" s="178"/>
      <c r="C97" s="178"/>
      <c r="D97" s="183"/>
      <c r="E97" s="177"/>
      <c r="F97" s="177"/>
      <c r="G97" s="2"/>
    </row>
    <row r="98">
      <c r="A98" s="2"/>
      <c r="B98" s="178"/>
      <c r="C98" s="178"/>
      <c r="D98" s="183"/>
      <c r="E98" s="177"/>
      <c r="F98" s="177"/>
      <c r="G98" s="2"/>
    </row>
    <row r="99">
      <c r="A99" s="2"/>
      <c r="B99" s="178"/>
      <c r="C99" s="178"/>
      <c r="D99" s="183"/>
      <c r="E99" s="177"/>
      <c r="F99" s="177"/>
      <c r="G99" s="2"/>
    </row>
    <row r="100">
      <c r="A100" s="2"/>
      <c r="B100" s="178"/>
      <c r="C100" s="178"/>
      <c r="D100" s="183"/>
      <c r="E100" s="177"/>
      <c r="F100" s="177"/>
      <c r="G100" s="2"/>
    </row>
    <row r="101" ht="11.25" customHeight="1">
      <c r="A101" s="2"/>
      <c r="B101" s="2"/>
      <c r="C101" s="2"/>
      <c r="D101" s="168"/>
      <c r="E101" s="2"/>
      <c r="F101" s="2"/>
      <c r="G101" s="2"/>
    </row>
  </sheetData>
  <drawing r:id="rId1"/>
</worksheet>
</file>